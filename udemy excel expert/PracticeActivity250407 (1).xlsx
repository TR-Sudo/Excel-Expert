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ha\Desktop\Transfer\Github\Excel-Expert\udemy excel expert\"/>
    </mc:Choice>
  </mc:AlternateContent>
  <xr:revisionPtr revIDLastSave="0" documentId="13_ncr:1_{AC4891D6-C82D-4988-9F49-D7F8CC0C43A3}" xr6:coauthVersionLast="47" xr6:coauthVersionMax="47" xr10:uidLastSave="{00000000-0000-0000-0000-000000000000}"/>
  <bookViews>
    <workbookView xWindow="-120" yWindow="-120" windowWidth="29040" windowHeight="15720" activeTab="6" xr2:uid="{A904A7FB-9EF7-4790-9AEC-34790E32DCCB}"/>
  </bookViews>
  <sheets>
    <sheet name="Employees" sheetId="1" r:id="rId1"/>
    <sheet name="Employee Summary" sheetId="6" r:id="rId2"/>
    <sheet name="Filter" sheetId="9" r:id="rId3"/>
    <sheet name="Workday" sheetId="8" r:id="rId4"/>
    <sheet name="Hire Date" sheetId="7" r:id="rId5"/>
    <sheet name="Sunburst" sheetId="3" r:id="rId6"/>
    <sheet name="Waterfall" sheetId="4" r:id="rId7"/>
    <sheet name="Sales" sheetId="2" r:id="rId8"/>
  </sheets>
  <definedNames>
    <definedName name="_xlnm._FilterDatabase" localSheetId="0" hidden="1">Employees!$A$1:$L$292</definedName>
    <definedName name="_xlchart.v1.2" hidden="1">Sunburst!$A$4:$C$12</definedName>
    <definedName name="_xlchart.v1.3" hidden="1">Sunburst!$D$3</definedName>
    <definedName name="_xlchart.v1.4" hidden="1">Sunburst!$D$4:$D$12</definedName>
    <definedName name="_xlchart.v1.5" hidden="1">Waterfall!$C$4:$C$16</definedName>
    <definedName name="_xlchart.v2.0" hidden="1">Employees!$J$1</definedName>
    <definedName name="_xlchart.v2.1" hidden="1">Employees!$J$2:$J$12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4" l="1"/>
  <c r="C7" i="4"/>
  <c r="C8" i="4"/>
  <c r="C9" i="4"/>
  <c r="C10" i="4"/>
  <c r="C11" i="4"/>
  <c r="C12" i="4"/>
  <c r="C13" i="4"/>
  <c r="C14" i="4"/>
  <c r="C15" i="4"/>
  <c r="C16" i="4"/>
  <c r="C5" i="4"/>
  <c r="C4" i="4"/>
  <c r="D8" i="6"/>
  <c r="D7" i="6"/>
  <c r="D6" i="6"/>
  <c r="D5" i="6"/>
  <c r="G5" i="6" s="1"/>
  <c r="D4" i="6"/>
  <c r="G4" i="6" s="1"/>
  <c r="C8" i="6"/>
  <c r="C7" i="6"/>
  <c r="C6" i="6"/>
  <c r="C5" i="6"/>
  <c r="C4" i="6"/>
  <c r="F5" i="6"/>
  <c r="F6" i="6" s="1"/>
  <c r="F7" i="6" s="1"/>
  <c r="F8" i="6" s="1"/>
  <c r="B17" i="4"/>
  <c r="E8" i="6" l="1"/>
  <c r="E7" i="6"/>
  <c r="E6" i="6"/>
  <c r="E4" i="6"/>
  <c r="E5" i="6"/>
  <c r="G6" i="6"/>
  <c r="G8" i="6"/>
  <c r="G7" i="6"/>
  <c r="D9" i="6"/>
  <c r="G9" i="6" l="1"/>
</calcChain>
</file>

<file path=xl/sharedStrings.xml><?xml version="1.0" encoding="utf-8"?>
<sst xmlns="http://schemas.openxmlformats.org/spreadsheetml/2006/main" count="966" uniqueCount="428">
  <si>
    <t>BusinessEntityID</t>
  </si>
  <si>
    <t>NationalIDNumber</t>
  </si>
  <si>
    <t>LoginID</t>
  </si>
  <si>
    <t>OrganizationLevel</t>
  </si>
  <si>
    <t>JobTitle</t>
  </si>
  <si>
    <t>BirthDate</t>
  </si>
  <si>
    <t>MaritalStatus</t>
  </si>
  <si>
    <t>HireDate</t>
  </si>
  <si>
    <t>SalariedFlag</t>
  </si>
  <si>
    <t>VacationHours</t>
  </si>
  <si>
    <t>SickLeaveHours</t>
  </si>
  <si>
    <t>Chief Executive Officer</t>
  </si>
  <si>
    <t>S</t>
  </si>
  <si>
    <t>M</t>
  </si>
  <si>
    <t>Vice President of Engineering</t>
  </si>
  <si>
    <t>Engineering Manager</t>
  </si>
  <si>
    <t>Senior Tool Designer</t>
  </si>
  <si>
    <t>Design Engineer</t>
  </si>
  <si>
    <t>Research and Development Manager</t>
  </si>
  <si>
    <t>Research and Development Engineer</t>
  </si>
  <si>
    <t>Tool Designer</t>
  </si>
  <si>
    <t>Senior Design Engineer</t>
  </si>
  <si>
    <t>Marketing Manager</t>
  </si>
  <si>
    <t>Marketing Assistant</t>
  </si>
  <si>
    <t>Marketing Specialist</t>
  </si>
  <si>
    <t>Vice President of Production</t>
  </si>
  <si>
    <t>Production Control Manager</t>
  </si>
  <si>
    <t>Production Supervisor - WC60</t>
  </si>
  <si>
    <t>Production Technician - WC60</t>
  </si>
  <si>
    <t>Production Supervisor - WC10</t>
  </si>
  <si>
    <t>Production Technician - WC10</t>
  </si>
  <si>
    <t>Production Supervisor - WC50</t>
  </si>
  <si>
    <t>Production Technician - WC50</t>
  </si>
  <si>
    <t>Production Supervisor - WC30</t>
  </si>
  <si>
    <t>Production Technician - WC30</t>
  </si>
  <si>
    <t>Production Supervisor - WC40</t>
  </si>
  <si>
    <t>Production Technician - WC40</t>
  </si>
  <si>
    <t>Shipping and Receiving Supervisor</t>
  </si>
  <si>
    <t>Stocker</t>
  </si>
  <si>
    <t>Shipping and Receiving Clerk</t>
  </si>
  <si>
    <t>Production Supervisor - WC20</t>
  </si>
  <si>
    <t>Production Technician - WC20</t>
  </si>
  <si>
    <t>Production Supervisor - WC45</t>
  </si>
  <si>
    <t>Production Technician - WC45</t>
  </si>
  <si>
    <t>Quality Assurance Manager</t>
  </si>
  <si>
    <t>Quality Assurance Supervisor</t>
  </si>
  <si>
    <t>Quality Assurance Technician</t>
  </si>
  <si>
    <t>Document Control Manager</t>
  </si>
  <si>
    <t>Control Specialist</t>
  </si>
  <si>
    <t>Document Control Assistant</t>
  </si>
  <si>
    <t>Master Scheduler</t>
  </si>
  <si>
    <t>Scheduling Assistant</t>
  </si>
  <si>
    <t>Facilities Manager</t>
  </si>
  <si>
    <t>Maintenance Supervisor</t>
  </si>
  <si>
    <t>Janitor</t>
  </si>
  <si>
    <t>Facilities Administrative Assistant</t>
  </si>
  <si>
    <t>Chief Financial Officer</t>
  </si>
  <si>
    <t>Human Resources Manager</t>
  </si>
  <si>
    <t>Human Resources Administrative Assistant</t>
  </si>
  <si>
    <t>Recruiter</t>
  </si>
  <si>
    <t>Benefits Specialist</t>
  </si>
  <si>
    <t>Accounts Manager</t>
  </si>
  <si>
    <t>Accounts Receivable Specialist</t>
  </si>
  <si>
    <t>Accountant</t>
  </si>
  <si>
    <t>Accounts Payable Specialist</t>
  </si>
  <si>
    <t>Finance Manager</t>
  </si>
  <si>
    <t>Purchasing Manager</t>
  </si>
  <si>
    <t>Buyer</t>
  </si>
  <si>
    <t>Purchasing Assistant</t>
  </si>
  <si>
    <t>Assistant to the Chief Financial Officer</t>
  </si>
  <si>
    <t>Information Services Manager</t>
  </si>
  <si>
    <t>Network Manager</t>
  </si>
  <si>
    <t>Network Administrator</t>
  </si>
  <si>
    <t>Application Specialist</t>
  </si>
  <si>
    <t>Database Administrator</t>
  </si>
  <si>
    <t>Vice President of Sales</t>
  </si>
  <si>
    <t>North American Sales Manager</t>
  </si>
  <si>
    <t>Sales Representative</t>
  </si>
  <si>
    <t>Pacific Sales Manager</t>
  </si>
  <si>
    <t>European Sales Manager</t>
  </si>
  <si>
    <t>ken0</t>
  </si>
  <si>
    <t>terri0</t>
  </si>
  <si>
    <t>roberto0</t>
  </si>
  <si>
    <t>rob0</t>
  </si>
  <si>
    <t>gail0</t>
  </si>
  <si>
    <t>jossef0</t>
  </si>
  <si>
    <t>dylan0</t>
  </si>
  <si>
    <t>diane1</t>
  </si>
  <si>
    <t>gigi0</t>
  </si>
  <si>
    <t>michael6</t>
  </si>
  <si>
    <t>ovidiu0</t>
  </si>
  <si>
    <t>thierry0</t>
  </si>
  <si>
    <t>janice0</t>
  </si>
  <si>
    <t>michael8</t>
  </si>
  <si>
    <t>sharon0</t>
  </si>
  <si>
    <t>david0</t>
  </si>
  <si>
    <t>kevin0</t>
  </si>
  <si>
    <t>john5</t>
  </si>
  <si>
    <t>mary2</t>
  </si>
  <si>
    <t>wanida0</t>
  </si>
  <si>
    <t>terry0</t>
  </si>
  <si>
    <t>sariya0</t>
  </si>
  <si>
    <t>mary0</t>
  </si>
  <si>
    <t>jill0</t>
  </si>
  <si>
    <t>james1</t>
  </si>
  <si>
    <t>peter0</t>
  </si>
  <si>
    <t>jo0</t>
  </si>
  <si>
    <t>guy1</t>
  </si>
  <si>
    <t>mark1</t>
  </si>
  <si>
    <t>britta0</t>
  </si>
  <si>
    <t>margie0</t>
  </si>
  <si>
    <t>rebecca0</t>
  </si>
  <si>
    <t>annik0</t>
  </si>
  <si>
    <t>suchitra0</t>
  </si>
  <si>
    <t>brandon0</t>
  </si>
  <si>
    <t>jose0</t>
  </si>
  <si>
    <t>chris2</t>
  </si>
  <si>
    <t>kim1</t>
  </si>
  <si>
    <t>ed0</t>
  </si>
  <si>
    <t>jolynn0</t>
  </si>
  <si>
    <t>bryan0</t>
  </si>
  <si>
    <t>james0</t>
  </si>
  <si>
    <t>nancy0</t>
  </si>
  <si>
    <t>simon0</t>
  </si>
  <si>
    <t>thomas0</t>
  </si>
  <si>
    <t>eugene1</t>
  </si>
  <si>
    <t>andrew0</t>
  </si>
  <si>
    <t>ruth0</t>
  </si>
  <si>
    <t>barry0</t>
  </si>
  <si>
    <t>sidney0</t>
  </si>
  <si>
    <t>jeffrey0</t>
  </si>
  <si>
    <t>doris0</t>
  </si>
  <si>
    <t>diane0</t>
  </si>
  <si>
    <t>bonnie0</t>
  </si>
  <si>
    <t>taylor0</t>
  </si>
  <si>
    <t>denise0</t>
  </si>
  <si>
    <t>frank1</t>
  </si>
  <si>
    <t>kendall0</t>
  </si>
  <si>
    <t>bob0</t>
  </si>
  <si>
    <t>pete0</t>
  </si>
  <si>
    <t>diane2</t>
  </si>
  <si>
    <t>john0</t>
  </si>
  <si>
    <t>maciej0</t>
  </si>
  <si>
    <t>michael7</t>
  </si>
  <si>
    <t>randy0</t>
  </si>
  <si>
    <t>karan0</t>
  </si>
  <si>
    <t>jay0</t>
  </si>
  <si>
    <t>charles0</t>
  </si>
  <si>
    <t>steve0</t>
  </si>
  <si>
    <t>david2</t>
  </si>
  <si>
    <t>michael3</t>
  </si>
  <si>
    <t>steven0</t>
  </si>
  <si>
    <t>carole0</t>
  </si>
  <si>
    <t>bjorn0</t>
  </si>
  <si>
    <t>michiko0</t>
  </si>
  <si>
    <t>carol0</t>
  </si>
  <si>
    <t>merav0</t>
  </si>
  <si>
    <t>reuben0</t>
  </si>
  <si>
    <t>eric1</t>
  </si>
  <si>
    <t>sandeep0</t>
  </si>
  <si>
    <t>mihail0</t>
  </si>
  <si>
    <t>jack1</t>
  </si>
  <si>
    <t>patrick1</t>
  </si>
  <si>
    <t>frank3</t>
  </si>
  <si>
    <t>brian2</t>
  </si>
  <si>
    <t>ryan0</t>
  </si>
  <si>
    <t>cristian0</t>
  </si>
  <si>
    <t>betsy0</t>
  </si>
  <si>
    <t>patrick0</t>
  </si>
  <si>
    <t>danielle0</t>
  </si>
  <si>
    <t>kimberly0</t>
  </si>
  <si>
    <t>tom0</t>
  </si>
  <si>
    <t>kok-ho0</t>
  </si>
  <si>
    <t>russell0</t>
  </si>
  <si>
    <t>jim0</t>
  </si>
  <si>
    <t>elizabeth0</t>
  </si>
  <si>
    <t>mandar0</t>
  </si>
  <si>
    <t>sameer0</t>
  </si>
  <si>
    <t>nuan0</t>
  </si>
  <si>
    <t>lolan0</t>
  </si>
  <si>
    <t>houman0</t>
  </si>
  <si>
    <t>zheng0</t>
  </si>
  <si>
    <t>ebru0</t>
  </si>
  <si>
    <t>mary1</t>
  </si>
  <si>
    <t>kevin2</t>
  </si>
  <si>
    <t>john4</t>
  </si>
  <si>
    <t>christopher0</t>
  </si>
  <si>
    <t>jinghao0</t>
  </si>
  <si>
    <t>alice0</t>
  </si>
  <si>
    <t>suroor0</t>
  </si>
  <si>
    <t>john1</t>
  </si>
  <si>
    <t>linda0</t>
  </si>
  <si>
    <t>mindaugas0</t>
  </si>
  <si>
    <t>angela0</t>
  </si>
  <si>
    <t>michael2</t>
  </si>
  <si>
    <t>chad0</t>
  </si>
  <si>
    <t>don0</t>
  </si>
  <si>
    <t>michael4</t>
  </si>
  <si>
    <t>kitti0</t>
  </si>
  <si>
    <t>pilar0</t>
  </si>
  <si>
    <t>susan0</t>
  </si>
  <si>
    <t>vamsi0</t>
  </si>
  <si>
    <t>kim0</t>
  </si>
  <si>
    <t>matthias0</t>
  </si>
  <si>
    <t>jimmy0</t>
  </si>
  <si>
    <t>david4</t>
  </si>
  <si>
    <t>paul0</t>
  </si>
  <si>
    <t>gary0</t>
  </si>
  <si>
    <t>rob1</t>
  </si>
  <si>
    <t>baris0</t>
  </si>
  <si>
    <t>nicole0</t>
  </si>
  <si>
    <t>michael1</t>
  </si>
  <si>
    <t>eric0</t>
  </si>
  <si>
    <t>ivo0</t>
  </si>
  <si>
    <t>sylvester0</t>
  </si>
  <si>
    <t>anibal0</t>
  </si>
  <si>
    <t>samantha0</t>
  </si>
  <si>
    <t>hung-fu0</t>
  </si>
  <si>
    <t>prasanna0</t>
  </si>
  <si>
    <t>min0</t>
  </si>
  <si>
    <t>olinda0</t>
  </si>
  <si>
    <t>krishna0</t>
  </si>
  <si>
    <t>paul1</t>
  </si>
  <si>
    <t>cynthia0</t>
  </si>
  <si>
    <t>jianshuo0</t>
  </si>
  <si>
    <t>sandra0</t>
  </si>
  <si>
    <t>jason0</t>
  </si>
  <si>
    <t>andy0</t>
  </si>
  <si>
    <t>michael5</t>
  </si>
  <si>
    <t>rostislav0</t>
  </si>
  <si>
    <t>yuhong0</t>
  </si>
  <si>
    <t>hanying0</t>
  </si>
  <si>
    <t>raymond0</t>
  </si>
  <si>
    <t>fadi0</t>
  </si>
  <si>
    <t>lane0</t>
  </si>
  <si>
    <t>linda1</t>
  </si>
  <si>
    <t>shelley0</t>
  </si>
  <si>
    <t>terrence0</t>
  </si>
  <si>
    <t>jeff0</t>
  </si>
  <si>
    <t>kirk0</t>
  </si>
  <si>
    <t>laura0</t>
  </si>
  <si>
    <t>alex0</t>
  </si>
  <si>
    <t>andrew1</t>
  </si>
  <si>
    <t>chris0</t>
  </si>
  <si>
    <t>jack0</t>
  </si>
  <si>
    <t>david1</t>
  </si>
  <si>
    <t>garrett0</t>
  </si>
  <si>
    <t>susan1</t>
  </si>
  <si>
    <t>george0</t>
  </si>
  <si>
    <t>david3</t>
  </si>
  <si>
    <t>eugene0</t>
  </si>
  <si>
    <t>benjamin0</t>
  </si>
  <si>
    <t>reed0</t>
  </si>
  <si>
    <t>david7</t>
  </si>
  <si>
    <t>russell1</t>
  </si>
  <si>
    <t>john3</t>
  </si>
  <si>
    <t>katie0</t>
  </si>
  <si>
    <t>michael0</t>
  </si>
  <si>
    <t>nitin0</t>
  </si>
  <si>
    <t>barbara0</t>
  </si>
  <si>
    <t>john2</t>
  </si>
  <si>
    <t>stefen0</t>
  </si>
  <si>
    <t>shane0</t>
  </si>
  <si>
    <t>yvonne0</t>
  </si>
  <si>
    <t>douglas0</t>
  </si>
  <si>
    <t>janeth0</t>
  </si>
  <si>
    <t>robert0</t>
  </si>
  <si>
    <t>lionel0</t>
  </si>
  <si>
    <t>brenda0</t>
  </si>
  <si>
    <t>alejandro0</t>
  </si>
  <si>
    <t>fred0</t>
  </si>
  <si>
    <t>kevin1</t>
  </si>
  <si>
    <t>shammi0</t>
  </si>
  <si>
    <t>rajesh0</t>
  </si>
  <si>
    <t>lorraine0</t>
  </si>
  <si>
    <t>paula1</t>
  </si>
  <si>
    <t>frank0</t>
  </si>
  <si>
    <t>brian0</t>
  </si>
  <si>
    <t>tawana0</t>
  </si>
  <si>
    <t>ken1</t>
  </si>
  <si>
    <t>gabe0</t>
  </si>
  <si>
    <t>lori0</t>
  </si>
  <si>
    <t>stuart0</t>
  </si>
  <si>
    <t>greg0</t>
  </si>
  <si>
    <t>scott0</t>
  </si>
  <si>
    <t>kathie0</t>
  </si>
  <si>
    <t>belinda0</t>
  </si>
  <si>
    <t>hazem0</t>
  </si>
  <si>
    <t>peng0</t>
  </si>
  <si>
    <t>sootha0</t>
  </si>
  <si>
    <t>andreas0</t>
  </si>
  <si>
    <t>mark0</t>
  </si>
  <si>
    <t>sean0</t>
  </si>
  <si>
    <t>zainal0</t>
  </si>
  <si>
    <t>tengiz0</t>
  </si>
  <si>
    <t>sean1</t>
  </si>
  <si>
    <t>karen0</t>
  </si>
  <si>
    <t>chris1</t>
  </si>
  <si>
    <t>ascott0</t>
  </si>
  <si>
    <t>sairaj0</t>
  </si>
  <si>
    <t>william0</t>
  </si>
  <si>
    <t>alan0</t>
  </si>
  <si>
    <t>brian1</t>
  </si>
  <si>
    <t>gary1</t>
  </si>
  <si>
    <t>christian0</t>
  </si>
  <si>
    <t>lori1</t>
  </si>
  <si>
    <t>stuart1</t>
  </si>
  <si>
    <t>jo1</t>
  </si>
  <si>
    <t>pat0</t>
  </si>
  <si>
    <t>magnus0</t>
  </si>
  <si>
    <t>laura1</t>
  </si>
  <si>
    <t>paula0</t>
  </si>
  <si>
    <t>grant0</t>
  </si>
  <si>
    <t>hao0</t>
  </si>
  <si>
    <t>vidur0</t>
  </si>
  <si>
    <t>mindy0</t>
  </si>
  <si>
    <t>willis0</t>
  </si>
  <si>
    <t>david6</t>
  </si>
  <si>
    <t>deborah0</t>
  </si>
  <si>
    <t>candy0</t>
  </si>
  <si>
    <t>bryan1</t>
  </si>
  <si>
    <t>barbara1</t>
  </si>
  <si>
    <t>dragan0</t>
  </si>
  <si>
    <t>janet0</t>
  </si>
  <si>
    <t>mike0</t>
  </si>
  <si>
    <t>wendy0</t>
  </si>
  <si>
    <t>sheela0</t>
  </si>
  <si>
    <t>mikael0</t>
  </si>
  <si>
    <t>arvind0</t>
  </si>
  <si>
    <t>linda2</t>
  </si>
  <si>
    <t>fukiko0</t>
  </si>
  <si>
    <t>gordon0</t>
  </si>
  <si>
    <t>frank2</t>
  </si>
  <si>
    <t>eric2</t>
  </si>
  <si>
    <t>erin0</t>
  </si>
  <si>
    <t>ben0</t>
  </si>
  <si>
    <t>annette0</t>
  </si>
  <si>
    <t>reinout0</t>
  </si>
  <si>
    <t>david5</t>
  </si>
  <si>
    <t>jean0</t>
  </si>
  <si>
    <t>stephanie0</t>
  </si>
  <si>
    <t>ashvini0</t>
  </si>
  <si>
    <t>peter1</t>
  </si>
  <si>
    <t>karen1</t>
  </si>
  <si>
    <t>ramesh0</t>
  </si>
  <si>
    <t>dan0</t>
  </si>
  <si>
    <t>françois0</t>
  </si>
  <si>
    <t>dan1</t>
  </si>
  <si>
    <t>janaina0</t>
  </si>
  <si>
    <t>brian3</t>
  </si>
  <si>
    <t>stephen0</t>
  </si>
  <si>
    <t>michael9</t>
  </si>
  <si>
    <t>linda3</t>
  </si>
  <si>
    <t>jillian0</t>
  </si>
  <si>
    <t>garrett1</t>
  </si>
  <si>
    <t>tsvi0</t>
  </si>
  <si>
    <t>pamela0</t>
  </si>
  <si>
    <t>shu0</t>
  </si>
  <si>
    <t>josé1</t>
  </si>
  <si>
    <t>david8</t>
  </si>
  <si>
    <t>tete0</t>
  </si>
  <si>
    <t>syed0</t>
  </si>
  <si>
    <t>lynn0</t>
  </si>
  <si>
    <t>amy0</t>
  </si>
  <si>
    <t>rachel0</t>
  </si>
  <si>
    <t>jae0</t>
  </si>
  <si>
    <t>ranjit0</t>
  </si>
  <si>
    <t>jun0</t>
  </si>
  <si>
    <t>marc0</t>
  </si>
  <si>
    <t>jan0</t>
  </si>
  <si>
    <t>Salary</t>
  </si>
  <si>
    <t>OrderDate</t>
  </si>
  <si>
    <t>TotalDue</t>
  </si>
  <si>
    <t>Grand Total</t>
  </si>
  <si>
    <t>Qtr2</t>
  </si>
  <si>
    <t>May</t>
  </si>
  <si>
    <t>Jun</t>
  </si>
  <si>
    <t>Qtr3</t>
  </si>
  <si>
    <t>Qtr4</t>
  </si>
  <si>
    <t>Qtr1</t>
  </si>
  <si>
    <t>Apr</t>
  </si>
  <si>
    <t>Year/Quarter</t>
  </si>
  <si>
    <t>Total</t>
  </si>
  <si>
    <t>Waterfall</t>
  </si>
  <si>
    <t>Sunburst</t>
  </si>
  <si>
    <t>Year</t>
  </si>
  <si>
    <t>Quarter</t>
  </si>
  <si>
    <t>Month</t>
  </si>
  <si>
    <t>Total Invoiced</t>
  </si>
  <si>
    <t>Number of Employees</t>
  </si>
  <si>
    <t>Hierarchy Description</t>
  </si>
  <si>
    <t>Leadership Team</t>
  </si>
  <si>
    <t>Senior Management</t>
  </si>
  <si>
    <t>Middle Management</t>
  </si>
  <si>
    <t>Frontline Staff</t>
  </si>
  <si>
    <t>Hire Date</t>
  </si>
  <si>
    <t>Not yet eligible</t>
  </si>
  <si>
    <t>May be eligible for bronze service level award</t>
  </si>
  <si>
    <t>May be eligible for silver service level award</t>
  </si>
  <si>
    <t>May be eligible for gold service level award</t>
  </si>
  <si>
    <t>Hire Date and Awards</t>
  </si>
  <si>
    <t>Award Description</t>
  </si>
  <si>
    <t>Workday</t>
  </si>
  <si>
    <t>Starting date</t>
  </si>
  <si>
    <t>Ending date</t>
  </si>
  <si>
    <t>Vacation</t>
  </si>
  <si>
    <t>Number of days</t>
  </si>
  <si>
    <t>Total Salary</t>
  </si>
  <si>
    <t>% Increase</t>
  </si>
  <si>
    <t>New Salary</t>
  </si>
  <si>
    <t>Average Salary</t>
  </si>
  <si>
    <t>2021</t>
  </si>
  <si>
    <t>2022</t>
  </si>
  <si>
    <t>2023</t>
  </si>
  <si>
    <t>2024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</si>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</sst>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d\ mmm\ yyyy"/>
    <numFmt numFmtId="167" formatCode="d\ mmmm\ yyyy"/>
    <numFmt numFmtId="168" formatCode="[$-F800]dddd\,\ mmmm\ dd\,\ yyyy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17" fontId="0" fillId="0" borderId="0" xfId="0" quotePrefix="1" applyNumberFormat="1"/>
    <xf numFmtId="0" fontId="0" fillId="0" borderId="0" xfId="1" applyNumberFormat="1" applyFont="1"/>
    <xf numFmtId="165" fontId="0" fillId="0" borderId="0" xfId="2" applyNumberFormat="1" applyFont="1"/>
    <xf numFmtId="0" fontId="2" fillId="0" borderId="0" xfId="0" applyFont="1"/>
    <xf numFmtId="0" fontId="0" fillId="0" borderId="1" xfId="0" applyBorder="1"/>
    <xf numFmtId="0" fontId="2" fillId="0" borderId="1" xfId="0" applyFont="1" applyBorder="1"/>
    <xf numFmtId="165" fontId="0" fillId="0" borderId="1" xfId="2" applyNumberFormat="1" applyFont="1" applyBorder="1"/>
    <xf numFmtId="165" fontId="2" fillId="0" borderId="1" xfId="2" applyNumberFormat="1" applyFont="1" applyBorder="1"/>
    <xf numFmtId="0" fontId="3" fillId="0" borderId="0" xfId="0" applyFont="1"/>
    <xf numFmtId="0" fontId="0" fillId="0" borderId="2" xfId="0" applyBorder="1"/>
    <xf numFmtId="47" fontId="0" fillId="0" borderId="2" xfId="0" applyNumberFormat="1" applyBorder="1"/>
    <xf numFmtId="0" fontId="2" fillId="0" borderId="2" xfId="0" applyFont="1" applyBorder="1"/>
    <xf numFmtId="165" fontId="0" fillId="0" borderId="2" xfId="2" applyNumberFormat="1" applyFont="1" applyBorder="1"/>
    <xf numFmtId="165" fontId="2" fillId="0" borderId="2" xfId="2" applyNumberFormat="1" applyFont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center"/>
    </xf>
    <xf numFmtId="166" fontId="0" fillId="0" borderId="0" xfId="0" applyNumberFormat="1"/>
    <xf numFmtId="167" fontId="0" fillId="0" borderId="2" xfId="0" applyNumberFormat="1" applyBorder="1" applyAlignment="1">
      <alignment horizontal="center"/>
    </xf>
    <xf numFmtId="168" fontId="0" fillId="0" borderId="0" xfId="0" applyNumberFormat="1"/>
    <xf numFmtId="168" fontId="0" fillId="0" borderId="0" xfId="0" applyNumberFormat="1" applyAlignment="1">
      <alignment horizontal="center"/>
    </xf>
    <xf numFmtId="165" fontId="0" fillId="0" borderId="2" xfId="2" applyNumberFormat="1" applyFont="1" applyBorder="1" applyAlignment="1">
      <alignment horizontal="center"/>
    </xf>
    <xf numFmtId="165" fontId="2" fillId="0" borderId="2" xfId="2" applyNumberFormat="1" applyFon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165" fontId="2" fillId="0" borderId="0" xfId="2" applyNumberFormat="1" applyFont="1" applyBorder="1" applyAlignment="1">
      <alignment horizontal="center"/>
    </xf>
    <xf numFmtId="0" fontId="0" fillId="0" borderId="2" xfId="0" quotePrefix="1" applyBorder="1"/>
    <xf numFmtId="165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Employees!$K$1</c:f>
              <c:strCache>
                <c:ptCount val="1"/>
                <c:pt idx="0">
                  <c:v>SickLeaveHours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Employees!$K$2:$K$12</c:f>
              <c:numCache>
                <c:formatCode>General</c:formatCode>
                <c:ptCount val="11"/>
                <c:pt idx="0">
                  <c:v>69</c:v>
                </c:pt>
                <c:pt idx="1">
                  <c:v>51</c:v>
                </c:pt>
                <c:pt idx="2">
                  <c:v>51</c:v>
                </c:pt>
                <c:pt idx="3">
                  <c:v>50</c:v>
                </c:pt>
                <c:pt idx="4">
                  <c:v>80</c:v>
                </c:pt>
                <c:pt idx="5">
                  <c:v>64</c:v>
                </c:pt>
                <c:pt idx="6">
                  <c:v>23</c:v>
                </c:pt>
                <c:pt idx="7">
                  <c:v>23</c:v>
                </c:pt>
                <c:pt idx="8">
                  <c:v>22</c:v>
                </c:pt>
                <c:pt idx="9">
                  <c:v>21</c:v>
                </c:pt>
                <c:pt idx="1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16-44DE-9031-F796DFB1E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3531176"/>
        <c:axId val="1023533696"/>
      </c:barChart>
      <c:lineChart>
        <c:grouping val="standard"/>
        <c:varyColors val="0"/>
        <c:ser>
          <c:idx val="1"/>
          <c:order val="1"/>
          <c:tx>
            <c:strRef>
              <c:f>Employees!$L$1</c:f>
              <c:strCache>
                <c:ptCount val="1"/>
                <c:pt idx="0">
                  <c:v> Salary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Employees!$L$2:$L$12</c:f>
              <c:numCache>
                <c:formatCode>_("$"* #,##0_);_("$"* \(#,##0\);_("$"* "-"??_);_(@_)</c:formatCode>
                <c:ptCount val="11"/>
                <c:pt idx="0">
                  <c:v>1500000</c:v>
                </c:pt>
                <c:pt idx="1">
                  <c:v>109946</c:v>
                </c:pt>
                <c:pt idx="2">
                  <c:v>88314</c:v>
                </c:pt>
                <c:pt idx="3">
                  <c:v>184553</c:v>
                </c:pt>
                <c:pt idx="4">
                  <c:v>112876</c:v>
                </c:pt>
                <c:pt idx="5">
                  <c:v>61876</c:v>
                </c:pt>
                <c:pt idx="6">
                  <c:v>128399</c:v>
                </c:pt>
                <c:pt idx="7">
                  <c:v>184037</c:v>
                </c:pt>
                <c:pt idx="8">
                  <c:v>143468</c:v>
                </c:pt>
                <c:pt idx="9">
                  <c:v>206812</c:v>
                </c:pt>
                <c:pt idx="10">
                  <c:v>624024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16-44DE-9031-F796DFB1E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4575344"/>
        <c:axId val="764582184"/>
      </c:lineChart>
      <c:catAx>
        <c:axId val="7645753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582184"/>
        <c:crosses val="autoZero"/>
        <c:auto val="1"/>
        <c:lblAlgn val="ctr"/>
        <c:lblOffset val="100"/>
        <c:noMultiLvlLbl val="0"/>
      </c:catAx>
      <c:valAx>
        <c:axId val="764582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4575344"/>
        <c:crosses val="autoZero"/>
        <c:crossBetween val="between"/>
      </c:valAx>
      <c:valAx>
        <c:axId val="102353369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3531176"/>
        <c:crosses val="max"/>
        <c:crossBetween val="between"/>
      </c:valAx>
      <c:catAx>
        <c:axId val="1023531176"/>
        <c:scaling>
          <c:orientation val="minMax"/>
        </c:scaling>
        <c:delete val="1"/>
        <c:axPos val="b"/>
        <c:majorTickMark val="out"/>
        <c:minorTickMark val="none"/>
        <c:tickLblPos val="nextTo"/>
        <c:crossAx val="102353369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_xlchart.v2.1</cx:f>
      </cx:numDim>
    </cx:data>
  </cx:chartData>
  <cx:chart>
    <cx:title pos="t" align="ctr" overlay="0"/>
    <cx:plotArea>
      <cx:plotAreaRegion>
        <cx:series layoutId="funnel" uniqueId="{12AF5F1D-1DC0-4128-B0C7-E0EBE5FBF6E7}">
          <cx:tx>
            <cx:txData>
              <cx:f>_xlchart.v2.0</cx:f>
              <cx:v>VacationHours</cx:v>
            </cx:txData>
          </cx:tx>
          <cx:spPr>
            <a:solidFill>
              <a:srgbClr val="C00000"/>
            </a:solidFill>
          </cx:spPr>
          <cx:dataLabels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_xlchart.v1.4</cx:f>
      </cx:numDim>
    </cx:data>
  </cx:chartData>
  <cx:chart>
    <cx:title pos="t" align="ctr" overlay="0"/>
    <cx:plotArea>
      <cx:plotAreaRegion>
        <cx:series layoutId="sunburst" uniqueId="{9F106CA1-583C-43E6-8756-1D06D585667F}">
          <cx:tx>
            <cx:txData>
              <cx:f>_xlchart.v1.3</cx:f>
              <cx:v> Total Invoiced 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/>
    <cx:plotArea>
      <cx:plotAreaRegion>
        <cx:series layoutId="waterfall" uniqueId="{3B12F4C2-D4A2-4C27-89E3-2E09346CD9B5}"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1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757237</xdr:colOff>
      <xdr:row>16</xdr:row>
      <xdr:rowOff>14287</xdr:rowOff>
    </xdr:from>
    <xdr:to>
      <xdr:col>4</xdr:col>
      <xdr:colOff>1862137</xdr:colOff>
      <xdr:row>30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A42DAB-F06B-31A8-1554-36F546B037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595312</xdr:colOff>
      <xdr:row>0</xdr:row>
      <xdr:rowOff>6</xdr:rowOff>
    </xdr:from>
    <xdr:to>
      <xdr:col>7</xdr:col>
      <xdr:colOff>738187</xdr:colOff>
      <xdr:row>14</xdr:row>
      <xdr:rowOff>76206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E3A036AF-0489-84E3-A223-F175E86DDAC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2087" y="6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280986</xdr:colOff>
      <xdr:row>6</xdr:row>
      <xdr:rowOff>66675</xdr:rowOff>
    </xdr:from>
    <xdr:to>
      <xdr:col>20</xdr:col>
      <xdr:colOff>542925</xdr:colOff>
      <xdr:row>32</xdr:row>
      <xdr:rowOff>66675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4900D320-6C85-565F-DDF3-108382463CD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2086" y="1209675"/>
              <a:ext cx="8186739" cy="4953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109537</xdr:colOff>
      <xdr:row>13</xdr:row>
      <xdr:rowOff>147637</xdr:rowOff>
    </xdr:from>
    <xdr:to>
      <xdr:col>13</xdr:col>
      <xdr:colOff>414337</xdr:colOff>
      <xdr:row>28</xdr:row>
      <xdr:rowOff>33337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A0B0F55-B066-4740-E3EF-FF8F8F25591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2087" y="26241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27A3B-C2C7-41CB-9328-48DCAF0D3E8C}">
  <dimension ref="A1:L292"/>
  <sheetViews>
    <sheetView workbookViewId="0">
      <pane ySplit="1" topLeftCell="A2" activePane="bottomLeft" state="frozen"/>
      <selection pane="bottomLeft" activeCell="J1" sqref="J1:J12"/>
    </sheetView>
  </sheetViews>
  <sheetFormatPr defaultRowHeight="15" x14ac:dyDescent="0.25"/>
  <cols>
    <col min="1" max="1" width="18.140625" bestFit="1" customWidth="1"/>
    <col min="2" max="2" width="20.28515625" style="3" bestFit="1" customWidth="1"/>
    <col min="3" max="3" width="12.140625" bestFit="1" customWidth="1"/>
    <col min="4" max="4" width="19.5703125" bestFit="1" customWidth="1"/>
    <col min="5" max="5" width="39.7109375" bestFit="1" customWidth="1"/>
    <col min="6" max="6" width="11.7109375" style="1" bestFit="1" customWidth="1"/>
    <col min="7" max="7" width="15" bestFit="1" customWidth="1"/>
    <col min="8" max="8" width="11.140625" style="1" bestFit="1" customWidth="1"/>
    <col min="9" max="9" width="14" bestFit="1" customWidth="1"/>
    <col min="10" max="10" width="16.28515625" bestFit="1" customWidth="1"/>
    <col min="11" max="11" width="17.140625" bestFit="1" customWidth="1"/>
    <col min="12" max="12" width="14.28515625" style="4" bestFit="1" customWidth="1"/>
  </cols>
  <sheetData>
    <row r="1" spans="1:12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s="4" t="s">
        <v>370</v>
      </c>
    </row>
    <row r="2" spans="1:12" x14ac:dyDescent="0.25">
      <c r="A2">
        <v>1</v>
      </c>
      <c r="B2" s="3">
        <v>295847284</v>
      </c>
      <c r="C2" t="s">
        <v>80</v>
      </c>
      <c r="D2">
        <v>0</v>
      </c>
      <c r="E2" t="s">
        <v>11</v>
      </c>
      <c r="F2" s="1">
        <v>28882</v>
      </c>
      <c r="G2" t="s">
        <v>12</v>
      </c>
      <c r="H2" s="1">
        <v>43477</v>
      </c>
      <c r="I2">
        <v>1</v>
      </c>
      <c r="J2">
        <v>99</v>
      </c>
      <c r="K2">
        <v>69</v>
      </c>
      <c r="L2" s="4">
        <v>1500000</v>
      </c>
    </row>
    <row r="3" spans="1:12" x14ac:dyDescent="0.25">
      <c r="A3">
        <v>2</v>
      </c>
      <c r="B3" s="3">
        <v>658797903</v>
      </c>
      <c r="C3" t="s">
        <v>88</v>
      </c>
      <c r="D3">
        <v>4</v>
      </c>
      <c r="E3" t="s">
        <v>19</v>
      </c>
      <c r="F3" s="1">
        <v>32526</v>
      </c>
      <c r="G3" t="s">
        <v>13</v>
      </c>
      <c r="H3" s="1">
        <v>43479</v>
      </c>
      <c r="I3">
        <v>1</v>
      </c>
      <c r="J3">
        <v>63</v>
      </c>
      <c r="K3">
        <v>51</v>
      </c>
      <c r="L3" s="4">
        <v>109946</v>
      </c>
    </row>
    <row r="4" spans="1:12" x14ac:dyDescent="0.25">
      <c r="A4">
        <v>3</v>
      </c>
      <c r="B4" s="3">
        <v>811994146</v>
      </c>
      <c r="C4" t="s">
        <v>87</v>
      </c>
      <c r="D4">
        <v>4</v>
      </c>
      <c r="E4" t="s">
        <v>19</v>
      </c>
      <c r="F4" s="1">
        <v>35218</v>
      </c>
      <c r="G4" t="s">
        <v>12</v>
      </c>
      <c r="H4" s="1">
        <v>43461</v>
      </c>
      <c r="I4">
        <v>1</v>
      </c>
      <c r="J4">
        <v>62</v>
      </c>
      <c r="K4">
        <v>51</v>
      </c>
      <c r="L4" s="4">
        <v>88314</v>
      </c>
    </row>
    <row r="5" spans="1:12" x14ac:dyDescent="0.25">
      <c r="A5">
        <v>4</v>
      </c>
      <c r="B5" s="3">
        <v>134969118</v>
      </c>
      <c r="C5" t="s">
        <v>86</v>
      </c>
      <c r="D5">
        <v>3</v>
      </c>
      <c r="E5" t="s">
        <v>18</v>
      </c>
      <c r="F5" s="1">
        <v>35482</v>
      </c>
      <c r="G5" t="s">
        <v>13</v>
      </c>
      <c r="H5" s="1">
        <v>43502</v>
      </c>
      <c r="I5">
        <v>1</v>
      </c>
      <c r="J5">
        <v>61</v>
      </c>
      <c r="K5">
        <v>50</v>
      </c>
      <c r="L5" s="4">
        <v>184553</v>
      </c>
    </row>
    <row r="6" spans="1:12" x14ac:dyDescent="0.25">
      <c r="A6">
        <v>5</v>
      </c>
      <c r="B6" s="3">
        <v>112457891</v>
      </c>
      <c r="C6" t="s">
        <v>83</v>
      </c>
      <c r="D6">
        <v>3</v>
      </c>
      <c r="E6" t="s">
        <v>16</v>
      </c>
      <c r="F6" s="1">
        <v>31036</v>
      </c>
      <c r="G6" t="s">
        <v>12</v>
      </c>
      <c r="H6" s="1">
        <v>43071</v>
      </c>
      <c r="I6">
        <v>0</v>
      </c>
      <c r="J6">
        <v>48</v>
      </c>
      <c r="K6">
        <v>80</v>
      </c>
      <c r="L6" s="4">
        <v>112876</v>
      </c>
    </row>
    <row r="7" spans="1:12" x14ac:dyDescent="0.25">
      <c r="A7">
        <v>6</v>
      </c>
      <c r="B7" s="3">
        <v>879342154</v>
      </c>
      <c r="C7" t="s">
        <v>89</v>
      </c>
      <c r="D7">
        <v>4</v>
      </c>
      <c r="E7" t="s">
        <v>18</v>
      </c>
      <c r="F7" s="1">
        <v>34666</v>
      </c>
      <c r="G7" t="s">
        <v>13</v>
      </c>
      <c r="H7" s="1">
        <v>43586</v>
      </c>
      <c r="I7">
        <v>1</v>
      </c>
      <c r="J7">
        <v>16</v>
      </c>
      <c r="K7">
        <v>64</v>
      </c>
      <c r="L7" s="4">
        <v>61876</v>
      </c>
    </row>
    <row r="8" spans="1:12" x14ac:dyDescent="0.25">
      <c r="A8">
        <v>7</v>
      </c>
      <c r="B8" s="3">
        <v>974026903</v>
      </c>
      <c r="C8" t="s">
        <v>90</v>
      </c>
      <c r="D8">
        <v>3</v>
      </c>
      <c r="E8" t="s">
        <v>16</v>
      </c>
      <c r="F8" s="1">
        <v>32157</v>
      </c>
      <c r="G8" t="s">
        <v>12</v>
      </c>
      <c r="H8" s="1">
        <v>44167</v>
      </c>
      <c r="I8">
        <v>0</v>
      </c>
      <c r="J8">
        <v>7</v>
      </c>
      <c r="K8">
        <v>23</v>
      </c>
      <c r="L8" s="4">
        <v>128399</v>
      </c>
    </row>
    <row r="9" spans="1:12" x14ac:dyDescent="0.25">
      <c r="A9">
        <v>8</v>
      </c>
      <c r="B9" s="3">
        <v>998320692</v>
      </c>
      <c r="C9" t="s">
        <v>85</v>
      </c>
      <c r="D9">
        <v>3</v>
      </c>
      <c r="E9" t="s">
        <v>17</v>
      </c>
      <c r="F9" s="1">
        <v>25270</v>
      </c>
      <c r="G9" t="s">
        <v>13</v>
      </c>
      <c r="H9" s="1">
        <v>43121</v>
      </c>
      <c r="I9">
        <v>1</v>
      </c>
      <c r="J9">
        <v>6</v>
      </c>
      <c r="K9">
        <v>23</v>
      </c>
      <c r="L9" s="4">
        <v>184037</v>
      </c>
    </row>
    <row r="10" spans="1:12" x14ac:dyDescent="0.25">
      <c r="A10">
        <v>9</v>
      </c>
      <c r="B10" s="3">
        <v>695256908</v>
      </c>
      <c r="C10" t="s">
        <v>84</v>
      </c>
      <c r="D10">
        <v>3</v>
      </c>
      <c r="E10" t="s">
        <v>17</v>
      </c>
      <c r="F10" s="1">
        <v>22914</v>
      </c>
      <c r="G10" t="s">
        <v>13</v>
      </c>
      <c r="H10" s="1">
        <v>43103</v>
      </c>
      <c r="I10">
        <v>1</v>
      </c>
      <c r="J10">
        <v>5</v>
      </c>
      <c r="K10">
        <v>22</v>
      </c>
      <c r="L10" s="4">
        <v>143468</v>
      </c>
    </row>
    <row r="11" spans="1:12" x14ac:dyDescent="0.25">
      <c r="A11">
        <v>10</v>
      </c>
      <c r="B11" s="3">
        <v>509647174</v>
      </c>
      <c r="C11" t="s">
        <v>82</v>
      </c>
      <c r="D11">
        <v>2</v>
      </c>
      <c r="E11" t="s">
        <v>15</v>
      </c>
      <c r="F11" s="1">
        <v>30995</v>
      </c>
      <c r="G11" t="s">
        <v>13</v>
      </c>
      <c r="H11" s="1">
        <v>43047</v>
      </c>
      <c r="I11">
        <v>1</v>
      </c>
      <c r="J11">
        <v>2</v>
      </c>
      <c r="K11">
        <v>21</v>
      </c>
      <c r="L11" s="4">
        <v>206812</v>
      </c>
    </row>
    <row r="12" spans="1:12" x14ac:dyDescent="0.25">
      <c r="A12">
        <v>11</v>
      </c>
      <c r="B12" s="3">
        <v>245797967</v>
      </c>
      <c r="C12" t="s">
        <v>81</v>
      </c>
      <c r="D12">
        <v>1</v>
      </c>
      <c r="E12" t="s">
        <v>14</v>
      </c>
      <c r="F12" s="1">
        <v>29796</v>
      </c>
      <c r="G12" t="s">
        <v>12</v>
      </c>
      <c r="H12" s="1">
        <v>43128</v>
      </c>
      <c r="I12">
        <v>1</v>
      </c>
      <c r="J12">
        <v>1</v>
      </c>
      <c r="K12">
        <v>20</v>
      </c>
      <c r="L12" s="4">
        <v>624024</v>
      </c>
    </row>
    <row r="13" spans="1:12" x14ac:dyDescent="0.25">
      <c r="A13">
        <v>12</v>
      </c>
      <c r="B13" s="3">
        <v>480168528</v>
      </c>
      <c r="C13" t="s">
        <v>91</v>
      </c>
      <c r="D13">
        <v>4</v>
      </c>
      <c r="E13" t="s">
        <v>20</v>
      </c>
      <c r="F13" s="1">
        <v>25410</v>
      </c>
      <c r="G13" t="s">
        <v>13</v>
      </c>
      <c r="H13" s="1">
        <v>43077</v>
      </c>
      <c r="I13">
        <v>0</v>
      </c>
      <c r="J13">
        <v>9</v>
      </c>
      <c r="K13">
        <v>24</v>
      </c>
      <c r="L13" s="4">
        <v>92185</v>
      </c>
    </row>
    <row r="14" spans="1:12" x14ac:dyDescent="0.25">
      <c r="A14">
        <v>13</v>
      </c>
      <c r="B14" s="3">
        <v>486228782</v>
      </c>
      <c r="C14" t="s">
        <v>92</v>
      </c>
      <c r="D14">
        <v>4</v>
      </c>
      <c r="E14" t="s">
        <v>20</v>
      </c>
      <c r="F14" s="1">
        <v>36306</v>
      </c>
      <c r="G14" t="s">
        <v>13</v>
      </c>
      <c r="H14" s="1">
        <v>44185</v>
      </c>
      <c r="I14">
        <v>0</v>
      </c>
      <c r="J14">
        <v>8</v>
      </c>
      <c r="K14">
        <v>24</v>
      </c>
      <c r="L14" s="4">
        <v>79703</v>
      </c>
    </row>
    <row r="15" spans="1:12" x14ac:dyDescent="0.25">
      <c r="A15">
        <v>14</v>
      </c>
      <c r="B15" s="3">
        <v>42487730</v>
      </c>
      <c r="C15" t="s">
        <v>93</v>
      </c>
      <c r="D15">
        <v>3</v>
      </c>
      <c r="E15" t="s">
        <v>21</v>
      </c>
      <c r="F15" s="1">
        <v>32672</v>
      </c>
      <c r="G15" t="s">
        <v>12</v>
      </c>
      <c r="H15" s="1">
        <v>44192</v>
      </c>
      <c r="I15">
        <v>1</v>
      </c>
      <c r="J15">
        <v>3</v>
      </c>
      <c r="K15">
        <v>21</v>
      </c>
      <c r="L15" s="4">
        <v>114940</v>
      </c>
    </row>
    <row r="16" spans="1:12" x14ac:dyDescent="0.25">
      <c r="A16">
        <v>15</v>
      </c>
      <c r="B16" s="3">
        <v>56920285</v>
      </c>
      <c r="C16" t="s">
        <v>94</v>
      </c>
      <c r="D16">
        <v>3</v>
      </c>
      <c r="E16" t="s">
        <v>17</v>
      </c>
      <c r="F16" s="1">
        <v>26053</v>
      </c>
      <c r="G16" t="s">
        <v>13</v>
      </c>
      <c r="H16" s="1">
        <v>44211</v>
      </c>
      <c r="I16">
        <v>1</v>
      </c>
      <c r="J16">
        <v>4</v>
      </c>
      <c r="K16">
        <v>22</v>
      </c>
      <c r="L16" s="4">
        <v>135261</v>
      </c>
    </row>
    <row r="17" spans="1:12" x14ac:dyDescent="0.25">
      <c r="A17">
        <v>16</v>
      </c>
      <c r="B17" s="3">
        <v>24756624</v>
      </c>
      <c r="C17" t="s">
        <v>95</v>
      </c>
      <c r="D17">
        <v>1</v>
      </c>
      <c r="E17" t="s">
        <v>22</v>
      </c>
      <c r="F17" s="1">
        <v>31122</v>
      </c>
      <c r="G17" t="s">
        <v>12</v>
      </c>
      <c r="H17" s="1">
        <v>43086</v>
      </c>
      <c r="I17">
        <v>1</v>
      </c>
      <c r="J17">
        <v>40</v>
      </c>
      <c r="K17">
        <v>40</v>
      </c>
      <c r="L17" s="4">
        <v>390599</v>
      </c>
    </row>
    <row r="18" spans="1:12" x14ac:dyDescent="0.25">
      <c r="A18">
        <v>17</v>
      </c>
      <c r="B18" s="3">
        <v>253022876</v>
      </c>
      <c r="C18" t="s">
        <v>96</v>
      </c>
      <c r="D18">
        <v>2</v>
      </c>
      <c r="E18" t="s">
        <v>23</v>
      </c>
      <c r="F18" s="1">
        <v>35550</v>
      </c>
      <c r="G18" t="s">
        <v>12</v>
      </c>
      <c r="H18" s="1">
        <v>42758</v>
      </c>
      <c r="I18">
        <v>0</v>
      </c>
      <c r="J18">
        <v>42</v>
      </c>
      <c r="K18">
        <v>41</v>
      </c>
      <c r="L18" s="4">
        <v>189461</v>
      </c>
    </row>
    <row r="19" spans="1:12" x14ac:dyDescent="0.25">
      <c r="A19">
        <v>18</v>
      </c>
      <c r="B19" s="3">
        <v>222969461</v>
      </c>
      <c r="C19" t="s">
        <v>97</v>
      </c>
      <c r="D19">
        <v>2</v>
      </c>
      <c r="E19" t="s">
        <v>24</v>
      </c>
      <c r="F19" s="1">
        <v>32205</v>
      </c>
      <c r="G19" t="s">
        <v>12</v>
      </c>
      <c r="H19" s="1">
        <v>44231</v>
      </c>
      <c r="I19">
        <v>0</v>
      </c>
      <c r="J19">
        <v>48</v>
      </c>
      <c r="K19">
        <v>44</v>
      </c>
      <c r="L19" s="4">
        <v>218855</v>
      </c>
    </row>
    <row r="20" spans="1:12" x14ac:dyDescent="0.25">
      <c r="A20">
        <v>19</v>
      </c>
      <c r="B20" s="3">
        <v>52541318</v>
      </c>
      <c r="C20" t="s">
        <v>98</v>
      </c>
      <c r="D20">
        <v>2</v>
      </c>
      <c r="E20" t="s">
        <v>23</v>
      </c>
      <c r="F20" s="1">
        <v>32169</v>
      </c>
      <c r="G20" t="s">
        <v>12</v>
      </c>
      <c r="H20" s="1">
        <v>44238</v>
      </c>
      <c r="I20">
        <v>0</v>
      </c>
      <c r="J20">
        <v>43</v>
      </c>
      <c r="K20">
        <v>41</v>
      </c>
      <c r="L20" s="4">
        <v>227984</v>
      </c>
    </row>
    <row r="21" spans="1:12" x14ac:dyDescent="0.25">
      <c r="A21">
        <v>20</v>
      </c>
      <c r="B21" s="3">
        <v>323403273</v>
      </c>
      <c r="C21" t="s">
        <v>99</v>
      </c>
      <c r="D21">
        <v>2</v>
      </c>
      <c r="E21" t="s">
        <v>23</v>
      </c>
      <c r="F21" s="1">
        <v>31120</v>
      </c>
      <c r="G21" t="s">
        <v>13</v>
      </c>
      <c r="H21" s="1">
        <v>44200</v>
      </c>
      <c r="I21">
        <v>0</v>
      </c>
      <c r="J21">
        <v>41</v>
      </c>
      <c r="K21">
        <v>40</v>
      </c>
      <c r="L21" s="4">
        <v>203426</v>
      </c>
    </row>
    <row r="22" spans="1:12" x14ac:dyDescent="0.25">
      <c r="A22">
        <v>21</v>
      </c>
      <c r="B22" s="3">
        <v>243322160</v>
      </c>
      <c r="C22" t="s">
        <v>100</v>
      </c>
      <c r="D22">
        <v>2</v>
      </c>
      <c r="E22" t="s">
        <v>24</v>
      </c>
      <c r="F22" s="1">
        <v>35097</v>
      </c>
      <c r="G22" t="s">
        <v>13</v>
      </c>
      <c r="H22" s="1">
        <v>43524</v>
      </c>
      <c r="I22">
        <v>0</v>
      </c>
      <c r="J22">
        <v>44</v>
      </c>
      <c r="K22">
        <v>42</v>
      </c>
      <c r="L22" s="4">
        <v>204598</v>
      </c>
    </row>
    <row r="23" spans="1:12" x14ac:dyDescent="0.25">
      <c r="A23">
        <v>22</v>
      </c>
      <c r="B23" s="3">
        <v>95958330</v>
      </c>
      <c r="C23" t="s">
        <v>101</v>
      </c>
      <c r="D23">
        <v>2</v>
      </c>
      <c r="E23" t="s">
        <v>24</v>
      </c>
      <c r="F23" s="1">
        <v>35568</v>
      </c>
      <c r="G23" t="s">
        <v>12</v>
      </c>
      <c r="H23" s="1">
        <v>43444</v>
      </c>
      <c r="I23">
        <v>0</v>
      </c>
      <c r="J23">
        <v>45</v>
      </c>
      <c r="K23">
        <v>42</v>
      </c>
      <c r="L23" s="4">
        <v>205794</v>
      </c>
    </row>
    <row r="24" spans="1:12" x14ac:dyDescent="0.25">
      <c r="A24">
        <v>23</v>
      </c>
      <c r="B24" s="3">
        <v>767955365</v>
      </c>
      <c r="C24" t="s">
        <v>102</v>
      </c>
      <c r="D24">
        <v>2</v>
      </c>
      <c r="E24" t="s">
        <v>24</v>
      </c>
      <c r="F24" s="1">
        <v>26552</v>
      </c>
      <c r="G24" t="s">
        <v>13</v>
      </c>
      <c r="H24" s="1">
        <v>43475</v>
      </c>
      <c r="I24">
        <v>0</v>
      </c>
      <c r="J24">
        <v>46</v>
      </c>
      <c r="K24">
        <v>43</v>
      </c>
      <c r="L24" s="4">
        <v>275421</v>
      </c>
    </row>
    <row r="25" spans="1:12" x14ac:dyDescent="0.25">
      <c r="A25">
        <v>24</v>
      </c>
      <c r="B25" s="3">
        <v>72636981</v>
      </c>
      <c r="C25" t="s">
        <v>103</v>
      </c>
      <c r="D25">
        <v>2</v>
      </c>
      <c r="E25" t="s">
        <v>24</v>
      </c>
      <c r="F25" s="1">
        <v>32674</v>
      </c>
      <c r="G25" t="s">
        <v>13</v>
      </c>
      <c r="H25" s="1">
        <v>43481</v>
      </c>
      <c r="I25">
        <v>0</v>
      </c>
      <c r="J25">
        <v>47</v>
      </c>
      <c r="K25">
        <v>43</v>
      </c>
      <c r="L25" s="4">
        <v>247612</v>
      </c>
    </row>
    <row r="26" spans="1:12" x14ac:dyDescent="0.25">
      <c r="A26">
        <v>25</v>
      </c>
      <c r="B26" s="3">
        <v>519899904</v>
      </c>
      <c r="C26" t="s">
        <v>104</v>
      </c>
      <c r="D26">
        <v>1</v>
      </c>
      <c r="E26" t="s">
        <v>25</v>
      </c>
      <c r="F26" s="1">
        <v>33973</v>
      </c>
      <c r="G26" t="s">
        <v>12</v>
      </c>
      <c r="H26" s="1">
        <v>43497</v>
      </c>
      <c r="I26">
        <v>1</v>
      </c>
      <c r="J26">
        <v>64</v>
      </c>
      <c r="K26">
        <v>52</v>
      </c>
      <c r="L26" s="4">
        <v>618434</v>
      </c>
    </row>
    <row r="27" spans="1:12" x14ac:dyDescent="0.25">
      <c r="A27">
        <v>26</v>
      </c>
      <c r="B27" s="3">
        <v>277173473</v>
      </c>
      <c r="C27" t="s">
        <v>105</v>
      </c>
      <c r="D27">
        <v>2</v>
      </c>
      <c r="E27" t="s">
        <v>26</v>
      </c>
      <c r="F27" s="1">
        <v>33908</v>
      </c>
      <c r="G27" t="s">
        <v>13</v>
      </c>
      <c r="H27" s="1">
        <v>43433</v>
      </c>
      <c r="I27">
        <v>1</v>
      </c>
      <c r="J27">
        <v>43</v>
      </c>
      <c r="K27">
        <v>41</v>
      </c>
      <c r="L27" s="4">
        <v>290742</v>
      </c>
    </row>
    <row r="28" spans="1:12" x14ac:dyDescent="0.25">
      <c r="A28">
        <v>27</v>
      </c>
      <c r="B28" s="3">
        <v>446466105</v>
      </c>
      <c r="C28" t="s">
        <v>106</v>
      </c>
      <c r="D28">
        <v>3</v>
      </c>
      <c r="E28" t="s">
        <v>27</v>
      </c>
      <c r="F28" s="1">
        <v>24386</v>
      </c>
      <c r="G28" t="s">
        <v>12</v>
      </c>
      <c r="H28" s="1">
        <v>43155</v>
      </c>
      <c r="I28">
        <v>0</v>
      </c>
      <c r="J28">
        <v>80</v>
      </c>
      <c r="K28">
        <v>60</v>
      </c>
      <c r="L28" s="4">
        <v>172530</v>
      </c>
    </row>
    <row r="29" spans="1:12" x14ac:dyDescent="0.25">
      <c r="A29">
        <v>28</v>
      </c>
      <c r="B29" s="3">
        <v>14417807</v>
      </c>
      <c r="C29" t="s">
        <v>107</v>
      </c>
      <c r="D29">
        <v>4</v>
      </c>
      <c r="E29" t="s">
        <v>28</v>
      </c>
      <c r="F29" s="1">
        <v>35865</v>
      </c>
      <c r="G29" t="s">
        <v>13</v>
      </c>
      <c r="H29" s="1">
        <v>42548</v>
      </c>
      <c r="I29">
        <v>0</v>
      </c>
      <c r="J29">
        <v>21</v>
      </c>
      <c r="K29">
        <v>30</v>
      </c>
      <c r="L29" s="4">
        <v>67996</v>
      </c>
    </row>
    <row r="30" spans="1:12" x14ac:dyDescent="0.25">
      <c r="A30">
        <v>29</v>
      </c>
      <c r="B30" s="3">
        <v>948320468</v>
      </c>
      <c r="C30" t="s">
        <v>108</v>
      </c>
      <c r="D30">
        <v>4</v>
      </c>
      <c r="E30" t="s">
        <v>28</v>
      </c>
      <c r="F30" s="1">
        <v>32773</v>
      </c>
      <c r="G30" t="s">
        <v>12</v>
      </c>
      <c r="H30" s="1">
        <v>43486</v>
      </c>
      <c r="I30">
        <v>0</v>
      </c>
      <c r="J30">
        <v>19</v>
      </c>
      <c r="K30">
        <v>29</v>
      </c>
      <c r="L30" s="4">
        <v>93112</v>
      </c>
    </row>
    <row r="31" spans="1:12" x14ac:dyDescent="0.25">
      <c r="A31">
        <v>30</v>
      </c>
      <c r="B31" s="3">
        <v>410742000</v>
      </c>
      <c r="C31" t="s">
        <v>109</v>
      </c>
      <c r="D31">
        <v>4</v>
      </c>
      <c r="E31" t="s">
        <v>28</v>
      </c>
      <c r="F31" s="1">
        <v>36429</v>
      </c>
      <c r="G31" t="s">
        <v>13</v>
      </c>
      <c r="H31" s="1">
        <v>43492</v>
      </c>
      <c r="I31">
        <v>0</v>
      </c>
      <c r="J31">
        <v>14</v>
      </c>
      <c r="K31">
        <v>27</v>
      </c>
      <c r="L31" s="4">
        <v>78986</v>
      </c>
    </row>
    <row r="32" spans="1:12" x14ac:dyDescent="0.25">
      <c r="A32">
        <v>31</v>
      </c>
      <c r="B32" s="3">
        <v>750246141</v>
      </c>
      <c r="C32" t="s">
        <v>110</v>
      </c>
      <c r="D32">
        <v>4</v>
      </c>
      <c r="E32" t="s">
        <v>28</v>
      </c>
      <c r="F32" s="1">
        <v>35202</v>
      </c>
      <c r="G32" t="s">
        <v>13</v>
      </c>
      <c r="H32" s="1">
        <v>43467</v>
      </c>
      <c r="I32">
        <v>0</v>
      </c>
      <c r="J32">
        <v>18</v>
      </c>
      <c r="K32">
        <v>29</v>
      </c>
      <c r="L32" s="4">
        <v>94481</v>
      </c>
    </row>
    <row r="33" spans="1:12" x14ac:dyDescent="0.25">
      <c r="A33">
        <v>32</v>
      </c>
      <c r="B33" s="3">
        <v>330211482</v>
      </c>
      <c r="C33" t="s">
        <v>111</v>
      </c>
      <c r="D33">
        <v>4</v>
      </c>
      <c r="E33" t="s">
        <v>28</v>
      </c>
      <c r="F33" s="1">
        <v>31966</v>
      </c>
      <c r="G33" t="s">
        <v>13</v>
      </c>
      <c r="H33" s="1">
        <v>43461</v>
      </c>
      <c r="I33">
        <v>0</v>
      </c>
      <c r="J33">
        <v>23</v>
      </c>
      <c r="K33">
        <v>31</v>
      </c>
      <c r="L33" s="4">
        <v>72371</v>
      </c>
    </row>
    <row r="34" spans="1:12" x14ac:dyDescent="0.25">
      <c r="A34">
        <v>33</v>
      </c>
      <c r="B34" s="3">
        <v>801758002</v>
      </c>
      <c r="C34" t="s">
        <v>112</v>
      </c>
      <c r="D34">
        <v>4</v>
      </c>
      <c r="E34" t="s">
        <v>28</v>
      </c>
      <c r="F34" s="1">
        <v>31770</v>
      </c>
      <c r="G34" t="s">
        <v>13</v>
      </c>
      <c r="H34" s="1">
        <v>43449</v>
      </c>
      <c r="I34">
        <v>0</v>
      </c>
      <c r="J34">
        <v>17</v>
      </c>
      <c r="K34">
        <v>28</v>
      </c>
      <c r="L34" s="4">
        <v>86744</v>
      </c>
    </row>
    <row r="35" spans="1:12" x14ac:dyDescent="0.25">
      <c r="A35">
        <v>34</v>
      </c>
      <c r="B35" s="3">
        <v>754372876</v>
      </c>
      <c r="C35" t="s">
        <v>113</v>
      </c>
      <c r="D35">
        <v>4</v>
      </c>
      <c r="E35" t="s">
        <v>28</v>
      </c>
      <c r="F35" s="1">
        <v>35588</v>
      </c>
      <c r="G35" t="s">
        <v>13</v>
      </c>
      <c r="H35" s="1">
        <v>43510</v>
      </c>
      <c r="I35">
        <v>0</v>
      </c>
      <c r="J35">
        <v>15</v>
      </c>
      <c r="K35">
        <v>27</v>
      </c>
      <c r="L35" s="4">
        <v>118880</v>
      </c>
    </row>
    <row r="36" spans="1:12" x14ac:dyDescent="0.25">
      <c r="A36">
        <v>35</v>
      </c>
      <c r="B36" s="3">
        <v>999440576</v>
      </c>
      <c r="C36" t="s">
        <v>114</v>
      </c>
      <c r="D36">
        <v>4</v>
      </c>
      <c r="E36" t="s">
        <v>28</v>
      </c>
      <c r="F36" s="1">
        <v>31785</v>
      </c>
      <c r="G36" t="s">
        <v>13</v>
      </c>
      <c r="H36" s="1">
        <v>43502</v>
      </c>
      <c r="I36">
        <v>0</v>
      </c>
      <c r="J36">
        <v>22</v>
      </c>
      <c r="K36">
        <v>31</v>
      </c>
      <c r="L36" s="4">
        <v>97403</v>
      </c>
    </row>
    <row r="37" spans="1:12" x14ac:dyDescent="0.25">
      <c r="A37">
        <v>36</v>
      </c>
      <c r="B37" s="3">
        <v>788456780</v>
      </c>
      <c r="C37" t="s">
        <v>115</v>
      </c>
      <c r="D37">
        <v>4</v>
      </c>
      <c r="E37" t="s">
        <v>28</v>
      </c>
      <c r="F37" s="1">
        <v>34544</v>
      </c>
      <c r="G37" t="s">
        <v>13</v>
      </c>
      <c r="H37" s="1">
        <v>43504</v>
      </c>
      <c r="I37">
        <v>0</v>
      </c>
      <c r="J37">
        <v>20</v>
      </c>
      <c r="K37">
        <v>30</v>
      </c>
      <c r="L37" s="4">
        <v>80773</v>
      </c>
    </row>
    <row r="38" spans="1:12" x14ac:dyDescent="0.25">
      <c r="A38">
        <v>37</v>
      </c>
      <c r="B38" s="3">
        <v>442121106</v>
      </c>
      <c r="C38" t="s">
        <v>116</v>
      </c>
      <c r="D38">
        <v>4</v>
      </c>
      <c r="E38" t="s">
        <v>28</v>
      </c>
      <c r="F38" s="1">
        <v>35281</v>
      </c>
      <c r="G38" t="s">
        <v>12</v>
      </c>
      <c r="H38" s="1">
        <v>43529</v>
      </c>
      <c r="I38">
        <v>0</v>
      </c>
      <c r="J38">
        <v>16</v>
      </c>
      <c r="K38">
        <v>28</v>
      </c>
      <c r="L38" s="4">
        <v>91060</v>
      </c>
    </row>
    <row r="39" spans="1:12" x14ac:dyDescent="0.25">
      <c r="A39">
        <v>38</v>
      </c>
      <c r="B39" s="3">
        <v>6298838</v>
      </c>
      <c r="C39" t="s">
        <v>117</v>
      </c>
      <c r="D39">
        <v>4</v>
      </c>
      <c r="E39" t="s">
        <v>28</v>
      </c>
      <c r="F39" s="1">
        <v>28105</v>
      </c>
      <c r="G39" t="s">
        <v>13</v>
      </c>
      <c r="H39" s="1">
        <v>43844</v>
      </c>
      <c r="I39">
        <v>0</v>
      </c>
      <c r="J39">
        <v>24</v>
      </c>
      <c r="K39">
        <v>32</v>
      </c>
      <c r="L39" s="4">
        <v>78115</v>
      </c>
    </row>
    <row r="40" spans="1:12" x14ac:dyDescent="0.25">
      <c r="A40">
        <v>39</v>
      </c>
      <c r="B40" s="3">
        <v>461786517</v>
      </c>
      <c r="C40" t="s">
        <v>118</v>
      </c>
      <c r="D40">
        <v>4</v>
      </c>
      <c r="E40" t="s">
        <v>28</v>
      </c>
      <c r="F40" s="1">
        <v>29837</v>
      </c>
      <c r="G40" t="s">
        <v>12</v>
      </c>
      <c r="H40" s="1">
        <v>43864</v>
      </c>
      <c r="I40">
        <v>0</v>
      </c>
      <c r="J40">
        <v>25</v>
      </c>
      <c r="K40">
        <v>32</v>
      </c>
      <c r="L40" s="4">
        <v>79713</v>
      </c>
    </row>
    <row r="41" spans="1:12" x14ac:dyDescent="0.25">
      <c r="A41">
        <v>40</v>
      </c>
      <c r="B41" s="3">
        <v>309738752</v>
      </c>
      <c r="C41" t="s">
        <v>119</v>
      </c>
      <c r="D41">
        <v>3</v>
      </c>
      <c r="E41" t="s">
        <v>27</v>
      </c>
      <c r="F41" s="1">
        <v>24120</v>
      </c>
      <c r="G41" t="s">
        <v>12</v>
      </c>
      <c r="H41" s="1">
        <v>43092</v>
      </c>
      <c r="I41">
        <v>0</v>
      </c>
      <c r="J41">
        <v>82</v>
      </c>
      <c r="K41">
        <v>61</v>
      </c>
      <c r="L41" s="4">
        <v>152165</v>
      </c>
    </row>
    <row r="42" spans="1:12" x14ac:dyDescent="0.25">
      <c r="A42">
        <v>41</v>
      </c>
      <c r="B42" s="3">
        <v>458159238</v>
      </c>
      <c r="C42" t="s">
        <v>120</v>
      </c>
      <c r="D42">
        <v>4</v>
      </c>
      <c r="E42" t="s">
        <v>28</v>
      </c>
      <c r="F42" s="1">
        <v>30553</v>
      </c>
      <c r="G42" t="s">
        <v>12</v>
      </c>
      <c r="H42" s="1">
        <v>43484</v>
      </c>
      <c r="I42">
        <v>0</v>
      </c>
      <c r="J42">
        <v>35</v>
      </c>
      <c r="K42">
        <v>37</v>
      </c>
      <c r="L42" s="4">
        <v>109849</v>
      </c>
    </row>
    <row r="43" spans="1:12" x14ac:dyDescent="0.25">
      <c r="A43">
        <v>42</v>
      </c>
      <c r="B43" s="3">
        <v>339712426</v>
      </c>
      <c r="C43" t="s">
        <v>121</v>
      </c>
      <c r="D43">
        <v>4</v>
      </c>
      <c r="E43" t="s">
        <v>28</v>
      </c>
      <c r="F43" s="1">
        <v>34538</v>
      </c>
      <c r="G43" t="s">
        <v>13</v>
      </c>
      <c r="H43" s="1">
        <v>43459</v>
      </c>
      <c r="I43">
        <v>0</v>
      </c>
      <c r="J43">
        <v>39</v>
      </c>
      <c r="K43">
        <v>39</v>
      </c>
      <c r="L43" s="4">
        <v>116685</v>
      </c>
    </row>
    <row r="44" spans="1:12" x14ac:dyDescent="0.25">
      <c r="A44">
        <v>43</v>
      </c>
      <c r="B44" s="3">
        <v>693325305</v>
      </c>
      <c r="C44" t="s">
        <v>122</v>
      </c>
      <c r="D44">
        <v>4</v>
      </c>
      <c r="E44" t="s">
        <v>28</v>
      </c>
      <c r="F44" s="1">
        <v>36116</v>
      </c>
      <c r="G44" t="s">
        <v>13</v>
      </c>
      <c r="H44" s="1">
        <v>43465</v>
      </c>
      <c r="I44">
        <v>0</v>
      </c>
      <c r="J44">
        <v>34</v>
      </c>
      <c r="K44">
        <v>37</v>
      </c>
      <c r="L44" s="4">
        <v>71489</v>
      </c>
    </row>
    <row r="45" spans="1:12" x14ac:dyDescent="0.25">
      <c r="A45">
        <v>44</v>
      </c>
      <c r="B45" s="3">
        <v>276751903</v>
      </c>
      <c r="C45" t="s">
        <v>123</v>
      </c>
      <c r="D45">
        <v>4</v>
      </c>
      <c r="E45" t="s">
        <v>28</v>
      </c>
      <c r="F45" s="1">
        <v>36660</v>
      </c>
      <c r="G45" t="s">
        <v>12</v>
      </c>
      <c r="H45" s="1">
        <v>43440</v>
      </c>
      <c r="I45">
        <v>0</v>
      </c>
      <c r="J45">
        <v>38</v>
      </c>
      <c r="K45">
        <v>39</v>
      </c>
      <c r="L45" s="4">
        <v>80696</v>
      </c>
    </row>
    <row r="46" spans="1:12" x14ac:dyDescent="0.25">
      <c r="A46">
        <v>45</v>
      </c>
      <c r="B46" s="3">
        <v>500412746</v>
      </c>
      <c r="C46" t="s">
        <v>124</v>
      </c>
      <c r="D46">
        <v>4</v>
      </c>
      <c r="E46" t="s">
        <v>28</v>
      </c>
      <c r="F46" s="1">
        <v>35072</v>
      </c>
      <c r="G46" t="s">
        <v>13</v>
      </c>
      <c r="H46" s="1">
        <v>43520</v>
      </c>
      <c r="I46">
        <v>0</v>
      </c>
      <c r="J46">
        <v>37</v>
      </c>
      <c r="K46">
        <v>38</v>
      </c>
      <c r="L46" s="4">
        <v>61011</v>
      </c>
    </row>
    <row r="47" spans="1:12" x14ac:dyDescent="0.25">
      <c r="A47">
        <v>46</v>
      </c>
      <c r="B47" s="3">
        <v>66073987</v>
      </c>
      <c r="C47" t="s">
        <v>125</v>
      </c>
      <c r="D47">
        <v>4</v>
      </c>
      <c r="E47" t="s">
        <v>28</v>
      </c>
      <c r="F47" s="1">
        <v>31450</v>
      </c>
      <c r="G47" t="s">
        <v>12</v>
      </c>
      <c r="H47" s="1">
        <v>43502</v>
      </c>
      <c r="I47">
        <v>0</v>
      </c>
      <c r="J47">
        <v>36</v>
      </c>
      <c r="K47">
        <v>38</v>
      </c>
      <c r="L47" s="4">
        <v>82277</v>
      </c>
    </row>
    <row r="48" spans="1:12" x14ac:dyDescent="0.25">
      <c r="A48">
        <v>47</v>
      </c>
      <c r="B48" s="3">
        <v>33237992</v>
      </c>
      <c r="C48" t="s">
        <v>126</v>
      </c>
      <c r="D48">
        <v>3</v>
      </c>
      <c r="E48" t="s">
        <v>29</v>
      </c>
      <c r="F48" s="1">
        <v>36042</v>
      </c>
      <c r="G48" t="s">
        <v>12</v>
      </c>
      <c r="H48" s="1">
        <v>43516</v>
      </c>
      <c r="I48">
        <v>0</v>
      </c>
      <c r="J48">
        <v>65</v>
      </c>
      <c r="K48">
        <v>52</v>
      </c>
      <c r="L48" s="4">
        <v>122497</v>
      </c>
    </row>
    <row r="49" spans="1:12" x14ac:dyDescent="0.25">
      <c r="A49">
        <v>48</v>
      </c>
      <c r="B49" s="3">
        <v>690627818</v>
      </c>
      <c r="C49" t="s">
        <v>127</v>
      </c>
      <c r="D49">
        <v>4</v>
      </c>
      <c r="E49" t="s">
        <v>30</v>
      </c>
      <c r="F49" s="1">
        <v>24260</v>
      </c>
      <c r="G49" t="s">
        <v>13</v>
      </c>
      <c r="H49" s="1">
        <v>43103</v>
      </c>
      <c r="I49">
        <v>0</v>
      </c>
      <c r="J49">
        <v>83</v>
      </c>
      <c r="K49">
        <v>61</v>
      </c>
      <c r="L49" s="4">
        <v>89672</v>
      </c>
    </row>
    <row r="50" spans="1:12" x14ac:dyDescent="0.25">
      <c r="A50">
        <v>49</v>
      </c>
      <c r="B50" s="3">
        <v>912265825</v>
      </c>
      <c r="C50" t="s">
        <v>128</v>
      </c>
      <c r="D50">
        <v>4</v>
      </c>
      <c r="E50" t="s">
        <v>30</v>
      </c>
      <c r="F50" s="1">
        <v>24190</v>
      </c>
      <c r="G50" t="s">
        <v>12</v>
      </c>
      <c r="H50" s="1">
        <v>43104</v>
      </c>
      <c r="I50">
        <v>0</v>
      </c>
      <c r="J50">
        <v>88</v>
      </c>
      <c r="K50">
        <v>64</v>
      </c>
      <c r="L50" s="4">
        <v>105479</v>
      </c>
    </row>
    <row r="51" spans="1:12" x14ac:dyDescent="0.25">
      <c r="A51">
        <v>50</v>
      </c>
      <c r="B51" s="3">
        <v>844973625</v>
      </c>
      <c r="C51" t="s">
        <v>129</v>
      </c>
      <c r="D51">
        <v>4</v>
      </c>
      <c r="E51" t="s">
        <v>30</v>
      </c>
      <c r="F51" s="1">
        <v>24347</v>
      </c>
      <c r="G51" t="s">
        <v>13</v>
      </c>
      <c r="H51" s="1">
        <v>43130</v>
      </c>
      <c r="I51">
        <v>0</v>
      </c>
      <c r="J51">
        <v>84</v>
      </c>
      <c r="K51">
        <v>62</v>
      </c>
      <c r="L51" s="4">
        <v>68705</v>
      </c>
    </row>
    <row r="52" spans="1:12" x14ac:dyDescent="0.25">
      <c r="A52">
        <v>51</v>
      </c>
      <c r="B52" s="3">
        <v>132674823</v>
      </c>
      <c r="C52" t="s">
        <v>130</v>
      </c>
      <c r="D52">
        <v>4</v>
      </c>
      <c r="E52" t="s">
        <v>30</v>
      </c>
      <c r="F52" s="1">
        <v>24297</v>
      </c>
      <c r="G52" t="s">
        <v>12</v>
      </c>
      <c r="H52" s="1">
        <v>43148</v>
      </c>
      <c r="I52">
        <v>0</v>
      </c>
      <c r="J52">
        <v>85</v>
      </c>
      <c r="K52">
        <v>62</v>
      </c>
      <c r="L52" s="4">
        <v>118546</v>
      </c>
    </row>
    <row r="53" spans="1:12" x14ac:dyDescent="0.25">
      <c r="A53">
        <v>52</v>
      </c>
      <c r="B53" s="3">
        <v>565090917</v>
      </c>
      <c r="C53" t="s">
        <v>131</v>
      </c>
      <c r="D53">
        <v>4</v>
      </c>
      <c r="E53" t="s">
        <v>30</v>
      </c>
      <c r="F53" s="1">
        <v>24199</v>
      </c>
      <c r="G53" t="s">
        <v>13</v>
      </c>
      <c r="H53" s="1">
        <v>43167</v>
      </c>
      <c r="I53">
        <v>0</v>
      </c>
      <c r="J53">
        <v>86</v>
      </c>
      <c r="K53">
        <v>63</v>
      </c>
      <c r="L53" s="4">
        <v>73968</v>
      </c>
    </row>
    <row r="54" spans="1:12" x14ac:dyDescent="0.25">
      <c r="A54">
        <v>53</v>
      </c>
      <c r="B54" s="3">
        <v>9659517</v>
      </c>
      <c r="C54" t="s">
        <v>132</v>
      </c>
      <c r="D54">
        <v>4</v>
      </c>
      <c r="E54" t="s">
        <v>30</v>
      </c>
      <c r="F54" s="1">
        <v>24193</v>
      </c>
      <c r="G54" t="s">
        <v>13</v>
      </c>
      <c r="H54" s="1">
        <v>43185</v>
      </c>
      <c r="I54">
        <v>0</v>
      </c>
      <c r="J54">
        <v>87</v>
      </c>
      <c r="K54">
        <v>63</v>
      </c>
      <c r="L54" s="4">
        <v>78106</v>
      </c>
    </row>
    <row r="55" spans="1:12" x14ac:dyDescent="0.25">
      <c r="A55">
        <v>54</v>
      </c>
      <c r="B55" s="3">
        <v>109272464</v>
      </c>
      <c r="C55" t="s">
        <v>133</v>
      </c>
      <c r="D55">
        <v>4</v>
      </c>
      <c r="E55" t="s">
        <v>30</v>
      </c>
      <c r="F55" s="1">
        <v>35315</v>
      </c>
      <c r="G55" t="s">
        <v>13</v>
      </c>
      <c r="H55" s="1">
        <v>43829</v>
      </c>
      <c r="I55">
        <v>0</v>
      </c>
      <c r="J55">
        <v>89</v>
      </c>
      <c r="K55">
        <v>64</v>
      </c>
      <c r="L55" s="4">
        <v>68559</v>
      </c>
    </row>
    <row r="56" spans="1:12" x14ac:dyDescent="0.25">
      <c r="A56">
        <v>55</v>
      </c>
      <c r="B56" s="3">
        <v>233069302</v>
      </c>
      <c r="C56" t="s">
        <v>134</v>
      </c>
      <c r="D56">
        <v>3</v>
      </c>
      <c r="E56" t="s">
        <v>31</v>
      </c>
      <c r="F56" s="1">
        <v>24196</v>
      </c>
      <c r="G56" t="s">
        <v>13</v>
      </c>
      <c r="H56" s="1">
        <v>43136</v>
      </c>
      <c r="I56">
        <v>0</v>
      </c>
      <c r="J56">
        <v>79</v>
      </c>
      <c r="K56">
        <v>59</v>
      </c>
      <c r="L56" s="4">
        <v>167401</v>
      </c>
    </row>
    <row r="57" spans="1:12" x14ac:dyDescent="0.25">
      <c r="A57">
        <v>56</v>
      </c>
      <c r="B57" s="3">
        <v>652535724</v>
      </c>
      <c r="C57" t="s">
        <v>135</v>
      </c>
      <c r="D57">
        <v>4</v>
      </c>
      <c r="E57" t="s">
        <v>32</v>
      </c>
      <c r="F57" s="1">
        <v>35980</v>
      </c>
      <c r="G57" t="s">
        <v>13</v>
      </c>
      <c r="H57" s="1">
        <v>43499</v>
      </c>
      <c r="I57">
        <v>0</v>
      </c>
      <c r="J57">
        <v>9</v>
      </c>
      <c r="K57">
        <v>24</v>
      </c>
      <c r="L57" s="4">
        <v>61535</v>
      </c>
    </row>
    <row r="58" spans="1:12" x14ac:dyDescent="0.25">
      <c r="A58">
        <v>57</v>
      </c>
      <c r="B58" s="3">
        <v>10708100</v>
      </c>
      <c r="C58" t="s">
        <v>136</v>
      </c>
      <c r="D58">
        <v>4</v>
      </c>
      <c r="E58" t="s">
        <v>32</v>
      </c>
      <c r="F58" s="1">
        <v>29788</v>
      </c>
      <c r="G58" t="s">
        <v>12</v>
      </c>
      <c r="H58" s="1">
        <v>43517</v>
      </c>
      <c r="I58">
        <v>0</v>
      </c>
      <c r="J58">
        <v>10</v>
      </c>
      <c r="K58">
        <v>25</v>
      </c>
      <c r="L58" s="4">
        <v>78335</v>
      </c>
    </row>
    <row r="59" spans="1:12" x14ac:dyDescent="0.25">
      <c r="A59">
        <v>58</v>
      </c>
      <c r="B59" s="3">
        <v>571658797</v>
      </c>
      <c r="C59" t="s">
        <v>137</v>
      </c>
      <c r="D59">
        <v>4</v>
      </c>
      <c r="E59" t="s">
        <v>32</v>
      </c>
      <c r="F59" s="1">
        <v>35212</v>
      </c>
      <c r="G59" t="s">
        <v>13</v>
      </c>
      <c r="H59" s="1">
        <v>43437</v>
      </c>
      <c r="I59">
        <v>0</v>
      </c>
      <c r="J59">
        <v>11</v>
      </c>
      <c r="K59">
        <v>25</v>
      </c>
      <c r="L59" s="4">
        <v>85766</v>
      </c>
    </row>
    <row r="60" spans="1:12" x14ac:dyDescent="0.25">
      <c r="A60">
        <v>59</v>
      </c>
      <c r="B60" s="3">
        <v>843479922</v>
      </c>
      <c r="C60" t="s">
        <v>138</v>
      </c>
      <c r="D60">
        <v>4</v>
      </c>
      <c r="E60" t="s">
        <v>32</v>
      </c>
      <c r="F60" s="1">
        <v>32733</v>
      </c>
      <c r="G60" t="s">
        <v>12</v>
      </c>
      <c r="H60" s="1">
        <v>43456</v>
      </c>
      <c r="I60">
        <v>0</v>
      </c>
      <c r="J60">
        <v>12</v>
      </c>
      <c r="K60">
        <v>26</v>
      </c>
      <c r="L60" s="4">
        <v>110875</v>
      </c>
    </row>
    <row r="61" spans="1:12" x14ac:dyDescent="0.25">
      <c r="A61">
        <v>60</v>
      </c>
      <c r="B61" s="3">
        <v>827686041</v>
      </c>
      <c r="C61" t="s">
        <v>139</v>
      </c>
      <c r="D61">
        <v>4</v>
      </c>
      <c r="E61" t="s">
        <v>32</v>
      </c>
      <c r="F61" s="1">
        <v>31809</v>
      </c>
      <c r="G61" t="s">
        <v>12</v>
      </c>
      <c r="H61" s="1">
        <v>43474</v>
      </c>
      <c r="I61">
        <v>0</v>
      </c>
      <c r="J61">
        <v>13</v>
      </c>
      <c r="K61">
        <v>26</v>
      </c>
      <c r="L61" s="4">
        <v>110857</v>
      </c>
    </row>
    <row r="62" spans="1:12" x14ac:dyDescent="0.25">
      <c r="A62">
        <v>61</v>
      </c>
      <c r="B62" s="3">
        <v>92096924</v>
      </c>
      <c r="C62" t="s">
        <v>140</v>
      </c>
      <c r="D62">
        <v>4</v>
      </c>
      <c r="E62" t="s">
        <v>32</v>
      </c>
      <c r="F62" s="1">
        <v>36379</v>
      </c>
      <c r="G62" t="s">
        <v>12</v>
      </c>
      <c r="H62" s="1">
        <v>43481</v>
      </c>
      <c r="I62">
        <v>0</v>
      </c>
      <c r="J62">
        <v>8</v>
      </c>
      <c r="K62">
        <v>24</v>
      </c>
      <c r="L62" s="4">
        <v>90878</v>
      </c>
    </row>
    <row r="63" spans="1:12" x14ac:dyDescent="0.25">
      <c r="A63">
        <v>62</v>
      </c>
      <c r="B63" s="3">
        <v>494170342</v>
      </c>
      <c r="C63" t="s">
        <v>141</v>
      </c>
      <c r="D63">
        <v>3</v>
      </c>
      <c r="E63" t="s">
        <v>27</v>
      </c>
      <c r="F63" s="1">
        <v>24324</v>
      </c>
      <c r="G63" t="s">
        <v>13</v>
      </c>
      <c r="H63" s="1">
        <v>43174</v>
      </c>
      <c r="I63">
        <v>0</v>
      </c>
      <c r="J63">
        <v>81</v>
      </c>
      <c r="K63">
        <v>60</v>
      </c>
      <c r="L63" s="4">
        <v>177866</v>
      </c>
    </row>
    <row r="64" spans="1:12" x14ac:dyDescent="0.25">
      <c r="A64">
        <v>63</v>
      </c>
      <c r="B64" s="3">
        <v>414476027</v>
      </c>
      <c r="C64" t="s">
        <v>142</v>
      </c>
      <c r="D64">
        <v>4</v>
      </c>
      <c r="E64" t="s">
        <v>28</v>
      </c>
      <c r="F64" s="1">
        <v>23769</v>
      </c>
      <c r="G64" t="s">
        <v>12</v>
      </c>
      <c r="H64" s="1">
        <v>43857</v>
      </c>
      <c r="I64">
        <v>0</v>
      </c>
      <c r="J64">
        <v>30</v>
      </c>
      <c r="K64">
        <v>35</v>
      </c>
      <c r="L64" s="4">
        <v>82676</v>
      </c>
    </row>
    <row r="65" spans="1:12" x14ac:dyDescent="0.25">
      <c r="A65">
        <v>64</v>
      </c>
      <c r="B65" s="3">
        <v>582347317</v>
      </c>
      <c r="C65" t="s">
        <v>143</v>
      </c>
      <c r="D65">
        <v>4</v>
      </c>
      <c r="E65" t="s">
        <v>28</v>
      </c>
      <c r="F65" s="1">
        <v>30562</v>
      </c>
      <c r="G65" t="s">
        <v>12</v>
      </c>
      <c r="H65" s="1">
        <v>43882</v>
      </c>
      <c r="I65">
        <v>0</v>
      </c>
      <c r="J65">
        <v>26</v>
      </c>
      <c r="K65">
        <v>33</v>
      </c>
      <c r="L65" s="4">
        <v>62500</v>
      </c>
    </row>
    <row r="66" spans="1:12" x14ac:dyDescent="0.25">
      <c r="A66">
        <v>65</v>
      </c>
      <c r="B66" s="3">
        <v>8066363</v>
      </c>
      <c r="C66" t="s">
        <v>144</v>
      </c>
      <c r="D66">
        <v>4</v>
      </c>
      <c r="E66" t="s">
        <v>28</v>
      </c>
      <c r="F66" s="1">
        <v>29336</v>
      </c>
      <c r="G66" t="s">
        <v>13</v>
      </c>
      <c r="H66" s="1">
        <v>43882</v>
      </c>
      <c r="I66">
        <v>0</v>
      </c>
      <c r="J66">
        <v>29</v>
      </c>
      <c r="K66">
        <v>34</v>
      </c>
      <c r="L66" s="4">
        <v>71079</v>
      </c>
    </row>
    <row r="67" spans="1:12" x14ac:dyDescent="0.25">
      <c r="A67">
        <v>66</v>
      </c>
      <c r="B67" s="3">
        <v>834186596</v>
      </c>
      <c r="C67" t="s">
        <v>145</v>
      </c>
      <c r="D67">
        <v>4</v>
      </c>
      <c r="E67" t="s">
        <v>28</v>
      </c>
      <c r="F67" s="1">
        <v>29284</v>
      </c>
      <c r="G67" t="s">
        <v>12</v>
      </c>
      <c r="H67" s="1">
        <v>43819</v>
      </c>
      <c r="I67">
        <v>0</v>
      </c>
      <c r="J67">
        <v>28</v>
      </c>
      <c r="K67">
        <v>34</v>
      </c>
      <c r="L67" s="4">
        <v>67025</v>
      </c>
    </row>
    <row r="68" spans="1:12" x14ac:dyDescent="0.25">
      <c r="A68">
        <v>67</v>
      </c>
      <c r="B68" s="3">
        <v>63179277</v>
      </c>
      <c r="C68" t="s">
        <v>146</v>
      </c>
      <c r="D68">
        <v>4</v>
      </c>
      <c r="E68" t="s">
        <v>28</v>
      </c>
      <c r="F68" s="1">
        <v>31451</v>
      </c>
      <c r="G68" t="s">
        <v>12</v>
      </c>
      <c r="H68" s="1">
        <v>43527</v>
      </c>
      <c r="I68">
        <v>0</v>
      </c>
      <c r="J68">
        <v>32</v>
      </c>
      <c r="K68">
        <v>36</v>
      </c>
      <c r="L68" s="4">
        <v>93826</v>
      </c>
    </row>
    <row r="69" spans="1:12" x14ac:dyDescent="0.25">
      <c r="A69">
        <v>68</v>
      </c>
      <c r="B69" s="3">
        <v>537092325</v>
      </c>
      <c r="C69" t="s">
        <v>147</v>
      </c>
      <c r="D69">
        <v>4</v>
      </c>
      <c r="E69" t="s">
        <v>28</v>
      </c>
      <c r="F69" s="1">
        <v>29828</v>
      </c>
      <c r="G69" t="s">
        <v>12</v>
      </c>
      <c r="H69" s="1">
        <v>43800</v>
      </c>
      <c r="I69">
        <v>0</v>
      </c>
      <c r="J69">
        <v>27</v>
      </c>
      <c r="K69">
        <v>33</v>
      </c>
      <c r="L69" s="4">
        <v>60379</v>
      </c>
    </row>
    <row r="70" spans="1:12" x14ac:dyDescent="0.25">
      <c r="A70">
        <v>69</v>
      </c>
      <c r="B70" s="3">
        <v>752513276</v>
      </c>
      <c r="C70" t="s">
        <v>148</v>
      </c>
      <c r="D70">
        <v>4</v>
      </c>
      <c r="E70" t="s">
        <v>28</v>
      </c>
      <c r="F70" s="1">
        <v>36984</v>
      </c>
      <c r="G70" t="s">
        <v>12</v>
      </c>
      <c r="H70" s="1">
        <v>43509</v>
      </c>
      <c r="I70">
        <v>0</v>
      </c>
      <c r="J70">
        <v>31</v>
      </c>
      <c r="K70">
        <v>35</v>
      </c>
      <c r="L70" s="4">
        <v>97838</v>
      </c>
    </row>
    <row r="71" spans="1:12" x14ac:dyDescent="0.25">
      <c r="A71">
        <v>70</v>
      </c>
      <c r="B71" s="3">
        <v>36151748</v>
      </c>
      <c r="C71" t="s">
        <v>149</v>
      </c>
      <c r="D71">
        <v>4</v>
      </c>
      <c r="E71" t="s">
        <v>28</v>
      </c>
      <c r="F71" s="1">
        <v>34695</v>
      </c>
      <c r="G71" t="s">
        <v>13</v>
      </c>
      <c r="H71" s="1">
        <v>43447</v>
      </c>
      <c r="I71">
        <v>0</v>
      </c>
      <c r="J71">
        <v>33</v>
      </c>
      <c r="K71">
        <v>36</v>
      </c>
      <c r="L71" s="4">
        <v>97134</v>
      </c>
    </row>
    <row r="72" spans="1:12" x14ac:dyDescent="0.25">
      <c r="A72">
        <v>71</v>
      </c>
      <c r="B72" s="3">
        <v>578935259</v>
      </c>
      <c r="C72" t="s">
        <v>150</v>
      </c>
      <c r="D72">
        <v>3</v>
      </c>
      <c r="E72" t="s">
        <v>33</v>
      </c>
      <c r="F72" s="1">
        <v>36187</v>
      </c>
      <c r="G72" t="s">
        <v>12</v>
      </c>
      <c r="H72" s="1">
        <v>43509</v>
      </c>
      <c r="I72">
        <v>0</v>
      </c>
      <c r="J72">
        <v>70</v>
      </c>
      <c r="K72">
        <v>55</v>
      </c>
      <c r="L72" s="4">
        <v>166342</v>
      </c>
    </row>
    <row r="73" spans="1:12" x14ac:dyDescent="0.25">
      <c r="A73">
        <v>72</v>
      </c>
      <c r="B73" s="3">
        <v>443968955</v>
      </c>
      <c r="C73" t="s">
        <v>151</v>
      </c>
      <c r="D73">
        <v>4</v>
      </c>
      <c r="E73" t="s">
        <v>34</v>
      </c>
      <c r="F73" s="1">
        <v>31909</v>
      </c>
      <c r="G73" t="s">
        <v>13</v>
      </c>
      <c r="H73" s="1">
        <v>43433</v>
      </c>
      <c r="I73">
        <v>0</v>
      </c>
      <c r="J73">
        <v>41</v>
      </c>
      <c r="K73">
        <v>40</v>
      </c>
      <c r="L73" s="4">
        <v>105601</v>
      </c>
    </row>
    <row r="74" spans="1:12" x14ac:dyDescent="0.25">
      <c r="A74">
        <v>73</v>
      </c>
      <c r="B74" s="3">
        <v>138280935</v>
      </c>
      <c r="C74" t="s">
        <v>152</v>
      </c>
      <c r="D74">
        <v>4</v>
      </c>
      <c r="E74" t="s">
        <v>34</v>
      </c>
      <c r="F74" s="1">
        <v>34258</v>
      </c>
      <c r="G74" t="s">
        <v>13</v>
      </c>
      <c r="H74" s="1">
        <v>43451</v>
      </c>
      <c r="I74">
        <v>0</v>
      </c>
      <c r="J74">
        <v>42</v>
      </c>
      <c r="K74">
        <v>41</v>
      </c>
      <c r="L74" s="4">
        <v>113289</v>
      </c>
    </row>
    <row r="75" spans="1:12" x14ac:dyDescent="0.25">
      <c r="A75">
        <v>74</v>
      </c>
      <c r="B75" s="3">
        <v>420023788</v>
      </c>
      <c r="C75" t="s">
        <v>153</v>
      </c>
      <c r="D75">
        <v>4</v>
      </c>
      <c r="E75" t="s">
        <v>34</v>
      </c>
      <c r="F75" s="1">
        <v>36468</v>
      </c>
      <c r="G75" t="s">
        <v>12</v>
      </c>
      <c r="H75" s="1">
        <v>43470</v>
      </c>
      <c r="I75">
        <v>0</v>
      </c>
      <c r="J75">
        <v>43</v>
      </c>
      <c r="K75">
        <v>41</v>
      </c>
      <c r="L75" s="4">
        <v>113146</v>
      </c>
    </row>
    <row r="76" spans="1:12" x14ac:dyDescent="0.25">
      <c r="A76">
        <v>75</v>
      </c>
      <c r="B76" s="3">
        <v>363996959</v>
      </c>
      <c r="C76" t="s">
        <v>154</v>
      </c>
      <c r="D76">
        <v>4</v>
      </c>
      <c r="E76" t="s">
        <v>34</v>
      </c>
      <c r="F76" s="1">
        <v>33779</v>
      </c>
      <c r="G76" t="s">
        <v>12</v>
      </c>
      <c r="H76" s="1">
        <v>43489</v>
      </c>
      <c r="I76">
        <v>0</v>
      </c>
      <c r="J76">
        <v>44</v>
      </c>
      <c r="K76">
        <v>42</v>
      </c>
      <c r="L76" s="4">
        <v>88511</v>
      </c>
    </row>
    <row r="77" spans="1:12" x14ac:dyDescent="0.25">
      <c r="A77">
        <v>76</v>
      </c>
      <c r="B77" s="3">
        <v>227319668</v>
      </c>
      <c r="C77" t="s">
        <v>155</v>
      </c>
      <c r="D77">
        <v>4</v>
      </c>
      <c r="E77" t="s">
        <v>34</v>
      </c>
      <c r="F77" s="1">
        <v>36083</v>
      </c>
      <c r="G77" t="s">
        <v>13</v>
      </c>
      <c r="H77" s="1">
        <v>43506</v>
      </c>
      <c r="I77">
        <v>0</v>
      </c>
      <c r="J77">
        <v>45</v>
      </c>
      <c r="K77">
        <v>42</v>
      </c>
      <c r="L77" s="4">
        <v>60429</v>
      </c>
    </row>
    <row r="78" spans="1:12" x14ac:dyDescent="0.25">
      <c r="A78">
        <v>77</v>
      </c>
      <c r="B78" s="3">
        <v>301435199</v>
      </c>
      <c r="C78" t="s">
        <v>156</v>
      </c>
      <c r="D78">
        <v>4</v>
      </c>
      <c r="E78" t="s">
        <v>34</v>
      </c>
      <c r="F78" s="1">
        <v>34099</v>
      </c>
      <c r="G78" t="s">
        <v>13</v>
      </c>
      <c r="H78" s="1">
        <v>43525</v>
      </c>
      <c r="I78">
        <v>0</v>
      </c>
      <c r="J78">
        <v>46</v>
      </c>
      <c r="K78">
        <v>43</v>
      </c>
      <c r="L78" s="4">
        <v>104576</v>
      </c>
    </row>
    <row r="79" spans="1:12" x14ac:dyDescent="0.25">
      <c r="A79">
        <v>78</v>
      </c>
      <c r="B79" s="3">
        <v>370989364</v>
      </c>
      <c r="C79" t="s">
        <v>157</v>
      </c>
      <c r="D79">
        <v>3</v>
      </c>
      <c r="E79" t="s">
        <v>35</v>
      </c>
      <c r="F79" s="1">
        <v>35666</v>
      </c>
      <c r="G79" t="s">
        <v>13</v>
      </c>
      <c r="H79" s="1">
        <v>43447</v>
      </c>
      <c r="I79">
        <v>0</v>
      </c>
      <c r="J79">
        <v>72</v>
      </c>
      <c r="K79">
        <v>56</v>
      </c>
      <c r="L79" s="4">
        <v>165883</v>
      </c>
    </row>
    <row r="80" spans="1:12" x14ac:dyDescent="0.25">
      <c r="A80">
        <v>79</v>
      </c>
      <c r="B80" s="3">
        <v>697712387</v>
      </c>
      <c r="C80" t="s">
        <v>158</v>
      </c>
      <c r="D80">
        <v>4</v>
      </c>
      <c r="E80" t="s">
        <v>36</v>
      </c>
      <c r="F80" s="1">
        <v>28099</v>
      </c>
      <c r="G80" t="s">
        <v>13</v>
      </c>
      <c r="H80" s="1">
        <v>43852</v>
      </c>
      <c r="I80">
        <v>0</v>
      </c>
      <c r="J80">
        <v>60</v>
      </c>
      <c r="K80">
        <v>50</v>
      </c>
      <c r="L80" s="4">
        <v>77775</v>
      </c>
    </row>
    <row r="81" spans="1:12" x14ac:dyDescent="0.25">
      <c r="A81">
        <v>80</v>
      </c>
      <c r="B81" s="3">
        <v>943170460</v>
      </c>
      <c r="C81" t="s">
        <v>159</v>
      </c>
      <c r="D81">
        <v>4</v>
      </c>
      <c r="E81" t="s">
        <v>36</v>
      </c>
      <c r="F81" s="1">
        <v>29555</v>
      </c>
      <c r="G81" t="s">
        <v>12</v>
      </c>
      <c r="H81" s="1">
        <v>43845</v>
      </c>
      <c r="I81">
        <v>0</v>
      </c>
      <c r="J81">
        <v>65</v>
      </c>
      <c r="K81">
        <v>52</v>
      </c>
      <c r="L81" s="4">
        <v>83051</v>
      </c>
    </row>
    <row r="82" spans="1:12" x14ac:dyDescent="0.25">
      <c r="A82">
        <v>81</v>
      </c>
      <c r="B82" s="3">
        <v>413787783</v>
      </c>
      <c r="C82" t="s">
        <v>160</v>
      </c>
      <c r="D82">
        <v>4</v>
      </c>
      <c r="E82" t="s">
        <v>36</v>
      </c>
      <c r="F82" s="1">
        <v>29651</v>
      </c>
      <c r="G82" t="s">
        <v>12</v>
      </c>
      <c r="H82" s="1">
        <v>43826</v>
      </c>
      <c r="I82">
        <v>0</v>
      </c>
      <c r="J82">
        <v>64</v>
      </c>
      <c r="K82">
        <v>52</v>
      </c>
      <c r="L82" s="4">
        <v>87242</v>
      </c>
    </row>
    <row r="83" spans="1:12" x14ac:dyDescent="0.25">
      <c r="A83">
        <v>82</v>
      </c>
      <c r="B83" s="3">
        <v>58791499</v>
      </c>
      <c r="C83" t="s">
        <v>161</v>
      </c>
      <c r="D83">
        <v>4</v>
      </c>
      <c r="E83" t="s">
        <v>36</v>
      </c>
      <c r="F83" s="1">
        <v>30555</v>
      </c>
      <c r="G83" t="s">
        <v>12</v>
      </c>
      <c r="H83" s="1">
        <v>43890</v>
      </c>
      <c r="I83">
        <v>0</v>
      </c>
      <c r="J83">
        <v>62</v>
      </c>
      <c r="K83">
        <v>51</v>
      </c>
      <c r="L83" s="4">
        <v>68015</v>
      </c>
    </row>
    <row r="84" spans="1:12" x14ac:dyDescent="0.25">
      <c r="A84">
        <v>83</v>
      </c>
      <c r="B84" s="3">
        <v>988315686</v>
      </c>
      <c r="C84" t="s">
        <v>162</v>
      </c>
      <c r="D84">
        <v>4</v>
      </c>
      <c r="E84" t="s">
        <v>36</v>
      </c>
      <c r="F84" s="1">
        <v>30671</v>
      </c>
      <c r="G84" t="s">
        <v>13</v>
      </c>
      <c r="H84" s="1">
        <v>43871</v>
      </c>
      <c r="I84">
        <v>0</v>
      </c>
      <c r="J84">
        <v>61</v>
      </c>
      <c r="K84">
        <v>50</v>
      </c>
      <c r="L84" s="4">
        <v>112928</v>
      </c>
    </row>
    <row r="85" spans="1:12" x14ac:dyDescent="0.25">
      <c r="A85">
        <v>84</v>
      </c>
      <c r="B85" s="3">
        <v>947029962</v>
      </c>
      <c r="C85" t="s">
        <v>163</v>
      </c>
      <c r="D85">
        <v>4</v>
      </c>
      <c r="E85" t="s">
        <v>36</v>
      </c>
      <c r="F85" s="1">
        <v>22705</v>
      </c>
      <c r="G85" t="s">
        <v>13</v>
      </c>
      <c r="H85" s="1">
        <v>43864</v>
      </c>
      <c r="I85">
        <v>0</v>
      </c>
      <c r="J85">
        <v>66</v>
      </c>
      <c r="K85">
        <v>53</v>
      </c>
      <c r="L85" s="4">
        <v>101133</v>
      </c>
    </row>
    <row r="86" spans="1:12" x14ac:dyDescent="0.25">
      <c r="A86">
        <v>85</v>
      </c>
      <c r="B86" s="3">
        <v>1662732</v>
      </c>
      <c r="C86" t="s">
        <v>164</v>
      </c>
      <c r="D86">
        <v>4</v>
      </c>
      <c r="E86" t="s">
        <v>36</v>
      </c>
      <c r="F86" s="1">
        <v>29575</v>
      </c>
      <c r="G86" t="s">
        <v>12</v>
      </c>
      <c r="H86" s="1">
        <v>43808</v>
      </c>
      <c r="I86">
        <v>0</v>
      </c>
      <c r="J86">
        <v>63</v>
      </c>
      <c r="K86">
        <v>51</v>
      </c>
      <c r="L86" s="4">
        <v>106392</v>
      </c>
    </row>
    <row r="87" spans="1:12" x14ac:dyDescent="0.25">
      <c r="A87">
        <v>86</v>
      </c>
      <c r="B87" s="3">
        <v>769680433</v>
      </c>
      <c r="C87" t="s">
        <v>165</v>
      </c>
      <c r="D87">
        <v>4</v>
      </c>
      <c r="E87" t="s">
        <v>36</v>
      </c>
      <c r="F87" s="1">
        <v>30113</v>
      </c>
      <c r="G87" t="s">
        <v>13</v>
      </c>
      <c r="H87" s="1">
        <v>43468</v>
      </c>
      <c r="I87">
        <v>0</v>
      </c>
      <c r="J87">
        <v>59</v>
      </c>
      <c r="K87">
        <v>49</v>
      </c>
      <c r="L87" s="4">
        <v>86008</v>
      </c>
    </row>
    <row r="88" spans="1:12" x14ac:dyDescent="0.25">
      <c r="A88">
        <v>87</v>
      </c>
      <c r="B88" s="3">
        <v>7201901</v>
      </c>
      <c r="C88" t="s">
        <v>166</v>
      </c>
      <c r="D88">
        <v>3</v>
      </c>
      <c r="E88" t="s">
        <v>29</v>
      </c>
      <c r="F88" s="1">
        <v>34433</v>
      </c>
      <c r="G88" t="s">
        <v>13</v>
      </c>
      <c r="H88" s="1">
        <v>43454</v>
      </c>
      <c r="I88">
        <v>0</v>
      </c>
      <c r="J88">
        <v>67</v>
      </c>
      <c r="K88">
        <v>53</v>
      </c>
      <c r="L88" s="4">
        <v>121642</v>
      </c>
    </row>
    <row r="89" spans="1:12" x14ac:dyDescent="0.25">
      <c r="A89">
        <v>88</v>
      </c>
      <c r="B89" s="3">
        <v>294148271</v>
      </c>
      <c r="C89" t="s">
        <v>167</v>
      </c>
      <c r="D89">
        <v>4</v>
      </c>
      <c r="E89" t="s">
        <v>30</v>
      </c>
      <c r="F89" s="1">
        <v>28108</v>
      </c>
      <c r="G89" t="s">
        <v>12</v>
      </c>
      <c r="H89" s="1">
        <v>43815</v>
      </c>
      <c r="I89">
        <v>0</v>
      </c>
      <c r="J89">
        <v>99</v>
      </c>
      <c r="K89">
        <v>69</v>
      </c>
      <c r="L89" s="4">
        <v>70113</v>
      </c>
    </row>
    <row r="90" spans="1:12" x14ac:dyDescent="0.25">
      <c r="A90">
        <v>89</v>
      </c>
      <c r="B90" s="3">
        <v>90888098</v>
      </c>
      <c r="C90" t="s">
        <v>168</v>
      </c>
      <c r="D90">
        <v>4</v>
      </c>
      <c r="E90" t="s">
        <v>30</v>
      </c>
      <c r="F90" s="1">
        <v>35315</v>
      </c>
      <c r="G90" t="s">
        <v>12</v>
      </c>
      <c r="H90" s="1">
        <v>43860</v>
      </c>
      <c r="I90">
        <v>0</v>
      </c>
      <c r="J90">
        <v>96</v>
      </c>
      <c r="K90">
        <v>68</v>
      </c>
      <c r="L90" s="4">
        <v>110794</v>
      </c>
    </row>
    <row r="91" spans="1:12" x14ac:dyDescent="0.25">
      <c r="A91">
        <v>90</v>
      </c>
      <c r="B91" s="3">
        <v>82638150</v>
      </c>
      <c r="C91" t="s">
        <v>169</v>
      </c>
      <c r="D91">
        <v>4</v>
      </c>
      <c r="E91" t="s">
        <v>30</v>
      </c>
      <c r="F91" s="1">
        <v>35312</v>
      </c>
      <c r="G91" t="s">
        <v>12</v>
      </c>
      <c r="H91" s="1">
        <v>43879</v>
      </c>
      <c r="I91">
        <v>0</v>
      </c>
      <c r="J91">
        <v>97</v>
      </c>
      <c r="K91">
        <v>68</v>
      </c>
      <c r="L91" s="4">
        <v>70099</v>
      </c>
    </row>
    <row r="92" spans="1:12" x14ac:dyDescent="0.25">
      <c r="A92">
        <v>91</v>
      </c>
      <c r="B92" s="3">
        <v>390124815</v>
      </c>
      <c r="C92" t="s">
        <v>170</v>
      </c>
      <c r="D92">
        <v>4</v>
      </c>
      <c r="E92" t="s">
        <v>30</v>
      </c>
      <c r="F92" s="1">
        <v>35318</v>
      </c>
      <c r="G92" t="s">
        <v>12</v>
      </c>
      <c r="H92" s="1">
        <v>43840</v>
      </c>
      <c r="I92">
        <v>0</v>
      </c>
      <c r="J92">
        <v>95</v>
      </c>
      <c r="K92">
        <v>67</v>
      </c>
      <c r="L92" s="4">
        <v>66034</v>
      </c>
    </row>
    <row r="93" spans="1:12" x14ac:dyDescent="0.25">
      <c r="A93">
        <v>92</v>
      </c>
      <c r="B93" s="3">
        <v>826454897</v>
      </c>
      <c r="C93" t="s">
        <v>171</v>
      </c>
      <c r="D93">
        <v>4</v>
      </c>
      <c r="E93" t="s">
        <v>30</v>
      </c>
      <c r="F93" s="1">
        <v>35336</v>
      </c>
      <c r="G93" t="s">
        <v>13</v>
      </c>
      <c r="H93" s="1">
        <v>43897</v>
      </c>
      <c r="I93">
        <v>0</v>
      </c>
      <c r="J93">
        <v>98</v>
      </c>
      <c r="K93">
        <v>69</v>
      </c>
      <c r="L93" s="4">
        <v>89720</v>
      </c>
    </row>
    <row r="94" spans="1:12" x14ac:dyDescent="0.25">
      <c r="A94">
        <v>93</v>
      </c>
      <c r="B94" s="3">
        <v>778552911</v>
      </c>
      <c r="C94" t="s">
        <v>172</v>
      </c>
      <c r="D94">
        <v>3</v>
      </c>
      <c r="E94" t="s">
        <v>31</v>
      </c>
      <c r="F94" s="1">
        <v>32989</v>
      </c>
      <c r="G94" t="s">
        <v>12</v>
      </c>
      <c r="H94" s="1">
        <v>43459</v>
      </c>
      <c r="I94">
        <v>0</v>
      </c>
      <c r="J94">
        <v>78</v>
      </c>
      <c r="K94">
        <v>59</v>
      </c>
      <c r="L94" s="4">
        <v>103269</v>
      </c>
    </row>
    <row r="95" spans="1:12" x14ac:dyDescent="0.25">
      <c r="A95">
        <v>94</v>
      </c>
      <c r="B95" s="3">
        <v>718299860</v>
      </c>
      <c r="C95" t="s">
        <v>173</v>
      </c>
      <c r="D95">
        <v>4</v>
      </c>
      <c r="E95" t="s">
        <v>32</v>
      </c>
      <c r="F95" s="1">
        <v>30278</v>
      </c>
      <c r="G95" t="s">
        <v>13</v>
      </c>
      <c r="H95" s="1">
        <v>43444</v>
      </c>
      <c r="I95">
        <v>0</v>
      </c>
      <c r="J95">
        <v>6</v>
      </c>
      <c r="K95">
        <v>23</v>
      </c>
      <c r="L95" s="4">
        <v>115779</v>
      </c>
    </row>
    <row r="96" spans="1:12" x14ac:dyDescent="0.25">
      <c r="A96">
        <v>95</v>
      </c>
      <c r="B96" s="3">
        <v>674171828</v>
      </c>
      <c r="C96" t="s">
        <v>174</v>
      </c>
      <c r="D96">
        <v>4</v>
      </c>
      <c r="E96" t="s">
        <v>32</v>
      </c>
      <c r="F96" s="1">
        <v>35313</v>
      </c>
      <c r="G96" t="s">
        <v>13</v>
      </c>
      <c r="H96" s="1">
        <v>43451</v>
      </c>
      <c r="I96">
        <v>0</v>
      </c>
      <c r="J96">
        <v>1</v>
      </c>
      <c r="K96">
        <v>20</v>
      </c>
      <c r="L96" s="4">
        <v>85376</v>
      </c>
    </row>
    <row r="97" spans="1:12" x14ac:dyDescent="0.25">
      <c r="A97">
        <v>96</v>
      </c>
      <c r="B97" s="3">
        <v>912141525</v>
      </c>
      <c r="C97" t="s">
        <v>175</v>
      </c>
      <c r="D97">
        <v>4</v>
      </c>
      <c r="E97" t="s">
        <v>32</v>
      </c>
      <c r="F97" s="1">
        <v>36548</v>
      </c>
      <c r="G97" t="s">
        <v>13</v>
      </c>
      <c r="H97" s="1">
        <v>43524</v>
      </c>
      <c r="I97">
        <v>0</v>
      </c>
      <c r="J97">
        <v>5</v>
      </c>
      <c r="K97">
        <v>22</v>
      </c>
      <c r="L97" s="4">
        <v>60868</v>
      </c>
    </row>
    <row r="98" spans="1:12" x14ac:dyDescent="0.25">
      <c r="A98">
        <v>97</v>
      </c>
      <c r="B98" s="3">
        <v>370581729</v>
      </c>
      <c r="C98" t="s">
        <v>176</v>
      </c>
      <c r="D98">
        <v>4</v>
      </c>
      <c r="E98" t="s">
        <v>32</v>
      </c>
      <c r="F98" s="1">
        <v>35142</v>
      </c>
      <c r="G98" t="s">
        <v>12</v>
      </c>
      <c r="H98" s="1">
        <v>43504</v>
      </c>
      <c r="I98">
        <v>0</v>
      </c>
      <c r="J98">
        <v>0</v>
      </c>
      <c r="K98">
        <v>20</v>
      </c>
      <c r="L98" s="4">
        <v>102952</v>
      </c>
    </row>
    <row r="99" spans="1:12" x14ac:dyDescent="0.25">
      <c r="A99">
        <v>98</v>
      </c>
      <c r="B99" s="3">
        <v>152085091</v>
      </c>
      <c r="C99" t="s">
        <v>177</v>
      </c>
      <c r="D99">
        <v>4</v>
      </c>
      <c r="E99" t="s">
        <v>32</v>
      </c>
      <c r="F99" s="1">
        <v>32317</v>
      </c>
      <c r="G99" t="s">
        <v>13</v>
      </c>
      <c r="H99" s="1">
        <v>43505</v>
      </c>
      <c r="I99">
        <v>0</v>
      </c>
      <c r="J99">
        <v>4</v>
      </c>
      <c r="K99">
        <v>22</v>
      </c>
      <c r="L99" s="4">
        <v>75400</v>
      </c>
    </row>
    <row r="100" spans="1:12" x14ac:dyDescent="0.25">
      <c r="A100">
        <v>99</v>
      </c>
      <c r="B100" s="3">
        <v>431859843</v>
      </c>
      <c r="C100" t="s">
        <v>178</v>
      </c>
      <c r="D100">
        <v>4</v>
      </c>
      <c r="E100" t="s">
        <v>32</v>
      </c>
      <c r="F100" s="1">
        <v>32593</v>
      </c>
      <c r="G100" t="s">
        <v>12</v>
      </c>
      <c r="H100" s="1">
        <v>43469</v>
      </c>
      <c r="I100">
        <v>0</v>
      </c>
      <c r="J100">
        <v>2</v>
      </c>
      <c r="K100">
        <v>21</v>
      </c>
      <c r="L100" s="4">
        <v>98660</v>
      </c>
    </row>
    <row r="101" spans="1:12" x14ac:dyDescent="0.25">
      <c r="A101">
        <v>100</v>
      </c>
      <c r="B101" s="3">
        <v>204035155</v>
      </c>
      <c r="C101" t="s">
        <v>179</v>
      </c>
      <c r="D101">
        <v>4</v>
      </c>
      <c r="E101" t="s">
        <v>32</v>
      </c>
      <c r="F101" s="1">
        <v>30338</v>
      </c>
      <c r="G101" t="s">
        <v>13</v>
      </c>
      <c r="H101" s="1">
        <v>43475</v>
      </c>
      <c r="I101">
        <v>0</v>
      </c>
      <c r="J101">
        <v>7</v>
      </c>
      <c r="K101">
        <v>23</v>
      </c>
      <c r="L101" s="4">
        <v>67921</v>
      </c>
    </row>
    <row r="102" spans="1:12" x14ac:dyDescent="0.25">
      <c r="A102">
        <v>101</v>
      </c>
      <c r="B102" s="3">
        <v>153288994</v>
      </c>
      <c r="C102" t="s">
        <v>180</v>
      </c>
      <c r="D102">
        <v>4</v>
      </c>
      <c r="E102" t="s">
        <v>32</v>
      </c>
      <c r="F102" s="1">
        <v>29825</v>
      </c>
      <c r="G102" t="s">
        <v>13</v>
      </c>
      <c r="H102" s="1">
        <v>43488</v>
      </c>
      <c r="I102">
        <v>0</v>
      </c>
      <c r="J102">
        <v>3</v>
      </c>
      <c r="K102">
        <v>21</v>
      </c>
      <c r="L102" s="4">
        <v>89879</v>
      </c>
    </row>
    <row r="103" spans="1:12" x14ac:dyDescent="0.25">
      <c r="A103">
        <v>102</v>
      </c>
      <c r="B103" s="3">
        <v>360868122</v>
      </c>
      <c r="C103" t="s">
        <v>181</v>
      </c>
      <c r="D103">
        <v>3</v>
      </c>
      <c r="E103" t="s">
        <v>29</v>
      </c>
      <c r="F103" s="1">
        <v>34265</v>
      </c>
      <c r="G103" t="s">
        <v>12</v>
      </c>
      <c r="H103" s="1">
        <v>43435</v>
      </c>
      <c r="I103">
        <v>0</v>
      </c>
      <c r="J103">
        <v>66</v>
      </c>
      <c r="K103">
        <v>53</v>
      </c>
      <c r="L103" s="4">
        <v>169316</v>
      </c>
    </row>
    <row r="104" spans="1:12" x14ac:dyDescent="0.25">
      <c r="A104">
        <v>103</v>
      </c>
      <c r="B104" s="3">
        <v>455563743</v>
      </c>
      <c r="C104" t="s">
        <v>182</v>
      </c>
      <c r="D104">
        <v>4</v>
      </c>
      <c r="E104" t="s">
        <v>30</v>
      </c>
      <c r="F104" s="1">
        <v>35327</v>
      </c>
      <c r="G104" t="s">
        <v>12</v>
      </c>
      <c r="H104" s="1">
        <v>43803</v>
      </c>
      <c r="I104">
        <v>0</v>
      </c>
      <c r="J104">
        <v>93</v>
      </c>
      <c r="K104">
        <v>66</v>
      </c>
      <c r="L104" s="4">
        <v>69966</v>
      </c>
    </row>
    <row r="105" spans="1:12" x14ac:dyDescent="0.25">
      <c r="A105">
        <v>104</v>
      </c>
      <c r="B105" s="3">
        <v>717889520</v>
      </c>
      <c r="C105" t="s">
        <v>183</v>
      </c>
      <c r="D105">
        <v>4</v>
      </c>
      <c r="E105" t="s">
        <v>30</v>
      </c>
      <c r="F105" s="1">
        <v>35324</v>
      </c>
      <c r="G105" t="s">
        <v>13</v>
      </c>
      <c r="H105" s="1">
        <v>43822</v>
      </c>
      <c r="I105">
        <v>0</v>
      </c>
      <c r="J105">
        <v>94</v>
      </c>
      <c r="K105">
        <v>67</v>
      </c>
      <c r="L105" s="4">
        <v>79217</v>
      </c>
    </row>
    <row r="106" spans="1:12" x14ac:dyDescent="0.25">
      <c r="A106">
        <v>105</v>
      </c>
      <c r="B106" s="3">
        <v>801365500</v>
      </c>
      <c r="C106" t="s">
        <v>184</v>
      </c>
      <c r="D106">
        <v>4</v>
      </c>
      <c r="E106" t="s">
        <v>30</v>
      </c>
      <c r="F106" s="1">
        <v>35324</v>
      </c>
      <c r="G106" t="s">
        <v>12</v>
      </c>
      <c r="H106" s="1">
        <v>43822</v>
      </c>
      <c r="I106">
        <v>0</v>
      </c>
      <c r="J106">
        <v>90</v>
      </c>
      <c r="K106">
        <v>65</v>
      </c>
      <c r="L106" s="4">
        <v>82488</v>
      </c>
    </row>
    <row r="107" spans="1:12" x14ac:dyDescent="0.25">
      <c r="A107">
        <v>106</v>
      </c>
      <c r="B107" s="3">
        <v>561196580</v>
      </c>
      <c r="C107" t="s">
        <v>185</v>
      </c>
      <c r="D107">
        <v>4</v>
      </c>
      <c r="E107" t="s">
        <v>30</v>
      </c>
      <c r="F107" s="1">
        <v>35333</v>
      </c>
      <c r="G107" t="s">
        <v>12</v>
      </c>
      <c r="H107" s="1">
        <v>43886</v>
      </c>
      <c r="I107">
        <v>0</v>
      </c>
      <c r="J107">
        <v>92</v>
      </c>
      <c r="K107">
        <v>66</v>
      </c>
      <c r="L107" s="4">
        <v>66024</v>
      </c>
    </row>
    <row r="108" spans="1:12" x14ac:dyDescent="0.25">
      <c r="A108">
        <v>107</v>
      </c>
      <c r="B108" s="3">
        <v>393421437</v>
      </c>
      <c r="C108" t="s">
        <v>186</v>
      </c>
      <c r="D108">
        <v>4</v>
      </c>
      <c r="E108" t="s">
        <v>30</v>
      </c>
      <c r="F108" s="1">
        <v>35336</v>
      </c>
      <c r="G108" t="s">
        <v>13</v>
      </c>
      <c r="H108" s="1">
        <v>43867</v>
      </c>
      <c r="I108">
        <v>0</v>
      </c>
      <c r="J108">
        <v>91</v>
      </c>
      <c r="K108">
        <v>65</v>
      </c>
      <c r="L108" s="4">
        <v>106907</v>
      </c>
    </row>
    <row r="109" spans="1:12" x14ac:dyDescent="0.25">
      <c r="A109">
        <v>108</v>
      </c>
      <c r="B109" s="3">
        <v>630184120</v>
      </c>
      <c r="C109" t="s">
        <v>187</v>
      </c>
      <c r="D109">
        <v>3</v>
      </c>
      <c r="E109" t="s">
        <v>31</v>
      </c>
      <c r="F109" s="1">
        <v>36194</v>
      </c>
      <c r="G109" t="s">
        <v>12</v>
      </c>
      <c r="H109" s="1">
        <v>43440</v>
      </c>
      <c r="I109">
        <v>0</v>
      </c>
      <c r="J109">
        <v>77</v>
      </c>
      <c r="K109">
        <v>58</v>
      </c>
      <c r="L109" s="4">
        <v>156262</v>
      </c>
    </row>
    <row r="110" spans="1:12" x14ac:dyDescent="0.25">
      <c r="A110">
        <v>109</v>
      </c>
      <c r="B110" s="3">
        <v>113695504</v>
      </c>
      <c r="C110" t="s">
        <v>188</v>
      </c>
      <c r="D110">
        <v>4</v>
      </c>
      <c r="E110" t="s">
        <v>32</v>
      </c>
      <c r="F110" s="1">
        <v>32166</v>
      </c>
      <c r="G110" t="s">
        <v>13</v>
      </c>
      <c r="H110" s="1">
        <v>43439</v>
      </c>
      <c r="I110">
        <v>0</v>
      </c>
      <c r="J110">
        <v>95</v>
      </c>
      <c r="K110">
        <v>67</v>
      </c>
      <c r="L110" s="4">
        <v>80747</v>
      </c>
    </row>
    <row r="111" spans="1:12" x14ac:dyDescent="0.25">
      <c r="A111">
        <v>110</v>
      </c>
      <c r="B111" s="3">
        <v>857651804</v>
      </c>
      <c r="C111" s="2" t="s">
        <v>367</v>
      </c>
      <c r="D111">
        <v>4</v>
      </c>
      <c r="E111" t="s">
        <v>32</v>
      </c>
      <c r="F111" s="1">
        <v>32692</v>
      </c>
      <c r="G111" t="s">
        <v>12</v>
      </c>
      <c r="H111" s="1">
        <v>43446</v>
      </c>
      <c r="I111">
        <v>0</v>
      </c>
      <c r="J111">
        <v>90</v>
      </c>
      <c r="K111">
        <v>65</v>
      </c>
      <c r="L111" s="4">
        <v>79885</v>
      </c>
    </row>
    <row r="112" spans="1:12" x14ac:dyDescent="0.25">
      <c r="A112">
        <v>111</v>
      </c>
      <c r="B112" s="3">
        <v>415823523</v>
      </c>
      <c r="C112" t="s">
        <v>189</v>
      </c>
      <c r="D112">
        <v>4</v>
      </c>
      <c r="E112" t="s">
        <v>32</v>
      </c>
      <c r="F112" s="1">
        <v>32196</v>
      </c>
      <c r="G112" t="s">
        <v>12</v>
      </c>
      <c r="H112" s="1">
        <v>43449</v>
      </c>
      <c r="I112">
        <v>0</v>
      </c>
      <c r="J112">
        <v>93</v>
      </c>
      <c r="K112">
        <v>66</v>
      </c>
      <c r="L112" s="4">
        <v>96966</v>
      </c>
    </row>
    <row r="113" spans="1:12" x14ac:dyDescent="0.25">
      <c r="A113">
        <v>112</v>
      </c>
      <c r="B113" s="3">
        <v>981597097</v>
      </c>
      <c r="C113" t="s">
        <v>190</v>
      </c>
      <c r="D113">
        <v>4</v>
      </c>
      <c r="E113" t="s">
        <v>32</v>
      </c>
      <c r="F113" s="1">
        <v>32291</v>
      </c>
      <c r="G113" t="s">
        <v>12</v>
      </c>
      <c r="H113" s="1">
        <v>43464</v>
      </c>
      <c r="I113">
        <v>0</v>
      </c>
      <c r="J113">
        <v>91</v>
      </c>
      <c r="K113">
        <v>65</v>
      </c>
      <c r="L113" s="4">
        <v>65858</v>
      </c>
    </row>
    <row r="114" spans="1:12" x14ac:dyDescent="0.25">
      <c r="A114">
        <v>113</v>
      </c>
      <c r="B114" s="3">
        <v>54759846</v>
      </c>
      <c r="C114" t="s">
        <v>191</v>
      </c>
      <c r="D114">
        <v>4</v>
      </c>
      <c r="E114" t="s">
        <v>32</v>
      </c>
      <c r="F114" s="1">
        <v>35625</v>
      </c>
      <c r="G114" t="s">
        <v>13</v>
      </c>
      <c r="H114" s="1">
        <v>43457</v>
      </c>
      <c r="I114">
        <v>0</v>
      </c>
      <c r="J114">
        <v>96</v>
      </c>
      <c r="K114">
        <v>68</v>
      </c>
      <c r="L114" s="4">
        <v>73634</v>
      </c>
    </row>
    <row r="115" spans="1:12" x14ac:dyDescent="0.25">
      <c r="A115">
        <v>114</v>
      </c>
      <c r="B115" s="3">
        <v>342607223</v>
      </c>
      <c r="C115" t="s">
        <v>192</v>
      </c>
      <c r="D115">
        <v>4</v>
      </c>
      <c r="E115" t="s">
        <v>32</v>
      </c>
      <c r="F115" s="1">
        <v>32267</v>
      </c>
      <c r="G115" t="s">
        <v>13</v>
      </c>
      <c r="H115" s="1">
        <v>43476</v>
      </c>
      <c r="I115">
        <v>0</v>
      </c>
      <c r="J115">
        <v>97</v>
      </c>
      <c r="K115">
        <v>68</v>
      </c>
      <c r="L115" s="4">
        <v>116402</v>
      </c>
    </row>
    <row r="116" spans="1:12" x14ac:dyDescent="0.25">
      <c r="A116">
        <v>115</v>
      </c>
      <c r="B116" s="3">
        <v>563680513</v>
      </c>
      <c r="C116" t="s">
        <v>193</v>
      </c>
      <c r="D116">
        <v>4</v>
      </c>
      <c r="E116" t="s">
        <v>32</v>
      </c>
      <c r="F116" s="1">
        <v>37039</v>
      </c>
      <c r="G116" t="s">
        <v>12</v>
      </c>
      <c r="H116" s="1">
        <v>43483</v>
      </c>
      <c r="I116">
        <v>0</v>
      </c>
      <c r="J116">
        <v>92</v>
      </c>
      <c r="K116">
        <v>66</v>
      </c>
      <c r="L116" s="4">
        <v>111175</v>
      </c>
    </row>
    <row r="117" spans="1:12" x14ac:dyDescent="0.25">
      <c r="A117">
        <v>116</v>
      </c>
      <c r="B117" s="3">
        <v>398737566</v>
      </c>
      <c r="C117" t="s">
        <v>194</v>
      </c>
      <c r="D117">
        <v>4</v>
      </c>
      <c r="E117" t="s">
        <v>32</v>
      </c>
      <c r="F117" s="1">
        <v>30802</v>
      </c>
      <c r="G117" t="s">
        <v>12</v>
      </c>
      <c r="H117" s="1">
        <v>43494</v>
      </c>
      <c r="I117">
        <v>0</v>
      </c>
      <c r="J117">
        <v>98</v>
      </c>
      <c r="K117">
        <v>69</v>
      </c>
      <c r="L117" s="4">
        <v>86447</v>
      </c>
    </row>
    <row r="118" spans="1:12" x14ac:dyDescent="0.25">
      <c r="A118">
        <v>117</v>
      </c>
      <c r="B118" s="3">
        <v>599942664</v>
      </c>
      <c r="C118" t="s">
        <v>195</v>
      </c>
      <c r="D118">
        <v>4</v>
      </c>
      <c r="E118" t="s">
        <v>32</v>
      </c>
      <c r="F118" s="1">
        <v>36739</v>
      </c>
      <c r="G118" t="s">
        <v>13</v>
      </c>
      <c r="H118" s="1">
        <v>43512</v>
      </c>
      <c r="I118">
        <v>0</v>
      </c>
      <c r="J118">
        <v>99</v>
      </c>
      <c r="K118">
        <v>69</v>
      </c>
      <c r="L118" s="4">
        <v>74764</v>
      </c>
    </row>
    <row r="119" spans="1:12" x14ac:dyDescent="0.25">
      <c r="A119">
        <v>118</v>
      </c>
      <c r="B119" s="3">
        <v>222400012</v>
      </c>
      <c r="C119" t="s">
        <v>196</v>
      </c>
      <c r="D119">
        <v>4</v>
      </c>
      <c r="E119" t="s">
        <v>32</v>
      </c>
      <c r="F119" s="1">
        <v>29747</v>
      </c>
      <c r="G119" t="s">
        <v>13</v>
      </c>
      <c r="H119" s="1">
        <v>43507</v>
      </c>
      <c r="I119">
        <v>0</v>
      </c>
      <c r="J119">
        <v>88</v>
      </c>
      <c r="K119">
        <v>64</v>
      </c>
      <c r="L119" s="4">
        <v>88917</v>
      </c>
    </row>
    <row r="120" spans="1:12" x14ac:dyDescent="0.25">
      <c r="A120">
        <v>119</v>
      </c>
      <c r="B120" s="3">
        <v>334834274</v>
      </c>
      <c r="C120" t="s">
        <v>197</v>
      </c>
      <c r="D120">
        <v>4</v>
      </c>
      <c r="E120" t="s">
        <v>32</v>
      </c>
      <c r="F120" s="1">
        <v>36324</v>
      </c>
      <c r="G120" t="s">
        <v>12</v>
      </c>
      <c r="H120" s="1">
        <v>43519</v>
      </c>
      <c r="I120">
        <v>0</v>
      </c>
      <c r="J120">
        <v>94</v>
      </c>
      <c r="K120">
        <v>67</v>
      </c>
      <c r="L120" s="4">
        <v>74455</v>
      </c>
    </row>
    <row r="121" spans="1:12" x14ac:dyDescent="0.25">
      <c r="A121">
        <v>120</v>
      </c>
      <c r="B121" s="3">
        <v>211789056</v>
      </c>
      <c r="C121" t="s">
        <v>198</v>
      </c>
      <c r="D121">
        <v>4</v>
      </c>
      <c r="E121" t="s">
        <v>32</v>
      </c>
      <c r="F121" s="1">
        <v>35584</v>
      </c>
      <c r="G121" t="s">
        <v>12</v>
      </c>
      <c r="H121" s="1">
        <v>43526</v>
      </c>
      <c r="I121">
        <v>0</v>
      </c>
      <c r="J121">
        <v>89</v>
      </c>
      <c r="K121">
        <v>64</v>
      </c>
      <c r="L121" s="4">
        <v>62049</v>
      </c>
    </row>
    <row r="122" spans="1:12" x14ac:dyDescent="0.25">
      <c r="A122">
        <v>121</v>
      </c>
      <c r="B122" s="3">
        <v>521265716</v>
      </c>
      <c r="C122" t="s">
        <v>199</v>
      </c>
      <c r="D122">
        <v>3</v>
      </c>
      <c r="E122" t="s">
        <v>37</v>
      </c>
      <c r="F122" s="1">
        <v>30201</v>
      </c>
      <c r="G122" t="s">
        <v>12</v>
      </c>
      <c r="H122" s="1">
        <v>43465</v>
      </c>
      <c r="I122">
        <v>1</v>
      </c>
      <c r="J122">
        <v>93</v>
      </c>
      <c r="K122">
        <v>66</v>
      </c>
      <c r="L122" s="4">
        <v>177013</v>
      </c>
    </row>
    <row r="123" spans="1:12" x14ac:dyDescent="0.25">
      <c r="A123">
        <v>122</v>
      </c>
      <c r="B123" s="3">
        <v>586486572</v>
      </c>
      <c r="C123" t="s">
        <v>200</v>
      </c>
      <c r="D123">
        <v>4</v>
      </c>
      <c r="E123" t="s">
        <v>38</v>
      </c>
      <c r="F123" s="1">
        <v>32188</v>
      </c>
      <c r="G123" t="s">
        <v>12</v>
      </c>
      <c r="H123" s="1">
        <v>43439</v>
      </c>
      <c r="I123">
        <v>0</v>
      </c>
      <c r="J123">
        <v>97</v>
      </c>
      <c r="K123">
        <v>68</v>
      </c>
      <c r="L123" s="4">
        <v>84521</v>
      </c>
    </row>
    <row r="124" spans="1:12" x14ac:dyDescent="0.25">
      <c r="A124">
        <v>123</v>
      </c>
      <c r="B124" s="3">
        <v>337752649</v>
      </c>
      <c r="C124" t="s">
        <v>201</v>
      </c>
      <c r="D124">
        <v>4</v>
      </c>
      <c r="E124" t="s">
        <v>39</v>
      </c>
      <c r="F124" s="1">
        <v>31852</v>
      </c>
      <c r="G124" t="s">
        <v>13</v>
      </c>
      <c r="H124" s="1">
        <v>43439</v>
      </c>
      <c r="I124">
        <v>0</v>
      </c>
      <c r="J124">
        <v>95</v>
      </c>
      <c r="K124">
        <v>67</v>
      </c>
      <c r="L124" s="4">
        <v>65020</v>
      </c>
    </row>
    <row r="125" spans="1:12" x14ac:dyDescent="0.25">
      <c r="A125">
        <v>124</v>
      </c>
      <c r="B125" s="3">
        <v>420776180</v>
      </c>
      <c r="C125" t="s">
        <v>202</v>
      </c>
      <c r="D125">
        <v>4</v>
      </c>
      <c r="E125" t="s">
        <v>38</v>
      </c>
      <c r="F125" s="1">
        <v>34452</v>
      </c>
      <c r="G125" t="s">
        <v>12</v>
      </c>
      <c r="H125" s="1">
        <v>43458</v>
      </c>
      <c r="I125">
        <v>0</v>
      </c>
      <c r="J125">
        <v>98</v>
      </c>
      <c r="K125">
        <v>69</v>
      </c>
      <c r="L125" s="4">
        <v>112015</v>
      </c>
    </row>
    <row r="126" spans="1:12" x14ac:dyDescent="0.25">
      <c r="A126">
        <v>125</v>
      </c>
      <c r="B126" s="3">
        <v>584205124</v>
      </c>
      <c r="C126" t="s">
        <v>203</v>
      </c>
      <c r="D126">
        <v>4</v>
      </c>
      <c r="E126" t="s">
        <v>39</v>
      </c>
      <c r="F126" s="1">
        <v>30629</v>
      </c>
      <c r="G126" t="s">
        <v>13</v>
      </c>
      <c r="H126" s="1">
        <v>43483</v>
      </c>
      <c r="I126">
        <v>0</v>
      </c>
      <c r="J126">
        <v>94</v>
      </c>
      <c r="K126">
        <v>67</v>
      </c>
      <c r="L126" s="4">
        <v>67113</v>
      </c>
    </row>
    <row r="127" spans="1:12" x14ac:dyDescent="0.25">
      <c r="A127">
        <v>126</v>
      </c>
      <c r="B127" s="3">
        <v>652779496</v>
      </c>
      <c r="C127" t="s">
        <v>204</v>
      </c>
      <c r="D127">
        <v>4</v>
      </c>
      <c r="E127" t="s">
        <v>38</v>
      </c>
      <c r="F127" s="1">
        <v>34821</v>
      </c>
      <c r="G127" t="s">
        <v>13</v>
      </c>
      <c r="H127" s="1">
        <v>43520</v>
      </c>
      <c r="I127">
        <v>0</v>
      </c>
      <c r="J127">
        <v>96</v>
      </c>
      <c r="K127">
        <v>68</v>
      </c>
      <c r="L127" s="4">
        <v>87818</v>
      </c>
    </row>
    <row r="128" spans="1:12" x14ac:dyDescent="0.25">
      <c r="A128">
        <v>127</v>
      </c>
      <c r="B128" s="3">
        <v>750905084</v>
      </c>
      <c r="C128" t="s">
        <v>205</v>
      </c>
      <c r="D128">
        <v>3</v>
      </c>
      <c r="E128" t="s">
        <v>35</v>
      </c>
      <c r="F128" s="1">
        <v>34149</v>
      </c>
      <c r="G128" t="s">
        <v>12</v>
      </c>
      <c r="H128" s="1">
        <v>43466</v>
      </c>
      <c r="I128">
        <v>0</v>
      </c>
      <c r="J128">
        <v>73</v>
      </c>
      <c r="K128">
        <v>56</v>
      </c>
      <c r="L128" s="4">
        <v>149586</v>
      </c>
    </row>
    <row r="129" spans="1:12" x14ac:dyDescent="0.25">
      <c r="A129">
        <v>128</v>
      </c>
      <c r="B129" s="3">
        <v>384162788</v>
      </c>
      <c r="C129" t="s">
        <v>206</v>
      </c>
      <c r="D129">
        <v>4</v>
      </c>
      <c r="E129" t="s">
        <v>36</v>
      </c>
      <c r="F129" s="1">
        <v>33188</v>
      </c>
      <c r="G129" t="s">
        <v>12</v>
      </c>
      <c r="H129" s="1">
        <v>43436</v>
      </c>
      <c r="I129">
        <v>0</v>
      </c>
      <c r="J129">
        <v>68</v>
      </c>
      <c r="K129">
        <v>54</v>
      </c>
      <c r="L129" s="4">
        <v>102319</v>
      </c>
    </row>
    <row r="130" spans="1:12" x14ac:dyDescent="0.25">
      <c r="A130">
        <v>129</v>
      </c>
      <c r="B130" s="3">
        <v>502058701</v>
      </c>
      <c r="C130" t="s">
        <v>207</v>
      </c>
      <c r="D130">
        <v>4</v>
      </c>
      <c r="E130" t="s">
        <v>36</v>
      </c>
      <c r="F130" s="1">
        <v>35929</v>
      </c>
      <c r="G130" t="s">
        <v>12</v>
      </c>
      <c r="H130" s="1">
        <v>43454</v>
      </c>
      <c r="I130">
        <v>0</v>
      </c>
      <c r="J130">
        <v>69</v>
      </c>
      <c r="K130">
        <v>54</v>
      </c>
      <c r="L130" s="4">
        <v>88086</v>
      </c>
    </row>
    <row r="131" spans="1:12" x14ac:dyDescent="0.25">
      <c r="A131">
        <v>130</v>
      </c>
      <c r="B131" s="3">
        <v>578953538</v>
      </c>
      <c r="C131" t="s">
        <v>208</v>
      </c>
      <c r="D131">
        <v>4</v>
      </c>
      <c r="E131" t="s">
        <v>36</v>
      </c>
      <c r="F131" s="1">
        <v>30530</v>
      </c>
      <c r="G131" t="s">
        <v>12</v>
      </c>
      <c r="H131" s="1">
        <v>43507</v>
      </c>
      <c r="I131">
        <v>0</v>
      </c>
      <c r="J131">
        <v>71</v>
      </c>
      <c r="K131">
        <v>55</v>
      </c>
      <c r="L131" s="4">
        <v>108322</v>
      </c>
    </row>
    <row r="132" spans="1:12" x14ac:dyDescent="0.25">
      <c r="A132">
        <v>131</v>
      </c>
      <c r="B132" s="3">
        <v>273260055</v>
      </c>
      <c r="C132" t="s">
        <v>209</v>
      </c>
      <c r="D132">
        <v>4</v>
      </c>
      <c r="E132" t="s">
        <v>36</v>
      </c>
      <c r="F132" s="1">
        <v>36803</v>
      </c>
      <c r="G132" t="s">
        <v>12</v>
      </c>
      <c r="H132" s="1">
        <v>43509</v>
      </c>
      <c r="I132">
        <v>0</v>
      </c>
      <c r="J132">
        <v>72</v>
      </c>
      <c r="K132">
        <v>56</v>
      </c>
      <c r="L132" s="4">
        <v>89257</v>
      </c>
    </row>
    <row r="133" spans="1:12" x14ac:dyDescent="0.25">
      <c r="A133">
        <v>132</v>
      </c>
      <c r="B133" s="3">
        <v>1300049</v>
      </c>
      <c r="C133" t="s">
        <v>210</v>
      </c>
      <c r="D133">
        <v>4</v>
      </c>
      <c r="E133" t="s">
        <v>36</v>
      </c>
      <c r="F133" s="1">
        <v>35161</v>
      </c>
      <c r="G133" t="s">
        <v>13</v>
      </c>
      <c r="H133" s="1">
        <v>43516</v>
      </c>
      <c r="I133">
        <v>0</v>
      </c>
      <c r="J133">
        <v>67</v>
      </c>
      <c r="K133">
        <v>53</v>
      </c>
      <c r="L133" s="4">
        <v>77664</v>
      </c>
    </row>
    <row r="134" spans="1:12" x14ac:dyDescent="0.25">
      <c r="A134">
        <v>133</v>
      </c>
      <c r="B134" s="3">
        <v>830150469</v>
      </c>
      <c r="C134" t="s">
        <v>211</v>
      </c>
      <c r="D134">
        <v>4</v>
      </c>
      <c r="E134" t="s">
        <v>36</v>
      </c>
      <c r="F134" s="1">
        <v>36892</v>
      </c>
      <c r="G134" t="s">
        <v>12</v>
      </c>
      <c r="H134" s="1">
        <v>43473</v>
      </c>
      <c r="I134">
        <v>0</v>
      </c>
      <c r="J134">
        <v>70</v>
      </c>
      <c r="K134">
        <v>55</v>
      </c>
      <c r="L134" s="4">
        <v>104174</v>
      </c>
    </row>
    <row r="135" spans="1:12" x14ac:dyDescent="0.25">
      <c r="A135">
        <v>134</v>
      </c>
      <c r="B135" s="3">
        <v>45615666</v>
      </c>
      <c r="C135" t="s">
        <v>212</v>
      </c>
      <c r="D135">
        <v>3</v>
      </c>
      <c r="E135" t="s">
        <v>40</v>
      </c>
      <c r="F135" s="1">
        <v>34716</v>
      </c>
      <c r="G135" t="s">
        <v>13</v>
      </c>
      <c r="H135" s="1">
        <v>43477</v>
      </c>
      <c r="I135">
        <v>0</v>
      </c>
      <c r="J135">
        <v>40</v>
      </c>
      <c r="K135">
        <v>40</v>
      </c>
      <c r="L135" s="4">
        <v>128877</v>
      </c>
    </row>
    <row r="136" spans="1:12" x14ac:dyDescent="0.25">
      <c r="A136">
        <v>135</v>
      </c>
      <c r="B136" s="3">
        <v>964089218</v>
      </c>
      <c r="C136" t="s">
        <v>213</v>
      </c>
      <c r="D136">
        <v>4</v>
      </c>
      <c r="E136" t="s">
        <v>41</v>
      </c>
      <c r="F136" s="1">
        <v>33604</v>
      </c>
      <c r="G136" t="s">
        <v>13</v>
      </c>
      <c r="H136" s="1">
        <v>43436</v>
      </c>
      <c r="I136">
        <v>0</v>
      </c>
      <c r="J136">
        <v>9</v>
      </c>
      <c r="K136">
        <v>24</v>
      </c>
      <c r="L136" s="4">
        <v>71376</v>
      </c>
    </row>
    <row r="137" spans="1:12" x14ac:dyDescent="0.25">
      <c r="A137">
        <v>136</v>
      </c>
      <c r="B137" s="3">
        <v>701156975</v>
      </c>
      <c r="C137" t="s">
        <v>214</v>
      </c>
      <c r="D137">
        <v>4</v>
      </c>
      <c r="E137" t="s">
        <v>41</v>
      </c>
      <c r="F137" s="1">
        <v>29534</v>
      </c>
      <c r="G137" t="s">
        <v>13</v>
      </c>
      <c r="H137" s="1">
        <v>43808</v>
      </c>
      <c r="I137">
        <v>0</v>
      </c>
      <c r="J137">
        <v>4</v>
      </c>
      <c r="K137">
        <v>22</v>
      </c>
      <c r="L137" s="4">
        <v>97086</v>
      </c>
    </row>
    <row r="138" spans="1:12" x14ac:dyDescent="0.25">
      <c r="A138">
        <v>137</v>
      </c>
      <c r="B138" s="3">
        <v>63761469</v>
      </c>
      <c r="C138" t="s">
        <v>215</v>
      </c>
      <c r="D138">
        <v>4</v>
      </c>
      <c r="E138" t="s">
        <v>41</v>
      </c>
      <c r="F138" s="1">
        <v>30927</v>
      </c>
      <c r="G138" t="s">
        <v>12</v>
      </c>
      <c r="H138" s="1">
        <v>43517</v>
      </c>
      <c r="I138">
        <v>0</v>
      </c>
      <c r="J138">
        <v>8</v>
      </c>
      <c r="K138">
        <v>24</v>
      </c>
      <c r="L138" s="4">
        <v>66430</v>
      </c>
    </row>
    <row r="139" spans="1:12" x14ac:dyDescent="0.25">
      <c r="A139">
        <v>138</v>
      </c>
      <c r="B139" s="3">
        <v>25011600</v>
      </c>
      <c r="C139" t="s">
        <v>216</v>
      </c>
      <c r="D139">
        <v>4</v>
      </c>
      <c r="E139" t="s">
        <v>41</v>
      </c>
      <c r="F139" s="1">
        <v>35753</v>
      </c>
      <c r="G139" t="s">
        <v>13</v>
      </c>
      <c r="H139" s="1">
        <v>43498</v>
      </c>
      <c r="I139">
        <v>0</v>
      </c>
      <c r="J139">
        <v>7</v>
      </c>
      <c r="K139">
        <v>23</v>
      </c>
      <c r="L139" s="4">
        <v>65526</v>
      </c>
    </row>
    <row r="140" spans="1:12" x14ac:dyDescent="0.25">
      <c r="A140">
        <v>139</v>
      </c>
      <c r="B140" s="3">
        <v>113393530</v>
      </c>
      <c r="C140" t="s">
        <v>217</v>
      </c>
      <c r="D140">
        <v>4</v>
      </c>
      <c r="E140" t="s">
        <v>41</v>
      </c>
      <c r="F140" s="1">
        <v>29879</v>
      </c>
      <c r="G140" t="s">
        <v>12</v>
      </c>
      <c r="H140" s="1">
        <v>43834</v>
      </c>
      <c r="I140">
        <v>0</v>
      </c>
      <c r="J140">
        <v>0</v>
      </c>
      <c r="K140">
        <v>20</v>
      </c>
      <c r="L140" s="4">
        <v>116448</v>
      </c>
    </row>
    <row r="141" spans="1:12" x14ac:dyDescent="0.25">
      <c r="A141">
        <v>140</v>
      </c>
      <c r="B141" s="3">
        <v>339233463</v>
      </c>
      <c r="C141" t="s">
        <v>218</v>
      </c>
      <c r="D141">
        <v>4</v>
      </c>
      <c r="E141" t="s">
        <v>41</v>
      </c>
      <c r="F141" s="1">
        <v>23129</v>
      </c>
      <c r="G141" t="s">
        <v>13</v>
      </c>
      <c r="H141" s="1">
        <v>43850</v>
      </c>
      <c r="I141">
        <v>0</v>
      </c>
      <c r="J141">
        <v>5</v>
      </c>
      <c r="K141">
        <v>22</v>
      </c>
      <c r="L141" s="4">
        <v>60441</v>
      </c>
    </row>
    <row r="142" spans="1:12" x14ac:dyDescent="0.25">
      <c r="A142">
        <v>141</v>
      </c>
      <c r="B142" s="3">
        <v>872923042</v>
      </c>
      <c r="C142" t="s">
        <v>219</v>
      </c>
      <c r="D142">
        <v>4</v>
      </c>
      <c r="E142" t="s">
        <v>41</v>
      </c>
      <c r="F142" s="1">
        <v>30932</v>
      </c>
      <c r="G142" t="s">
        <v>13</v>
      </c>
      <c r="H142" s="1">
        <v>43852</v>
      </c>
      <c r="I142">
        <v>0</v>
      </c>
      <c r="J142">
        <v>1</v>
      </c>
      <c r="K142">
        <v>20</v>
      </c>
      <c r="L142" s="4">
        <v>82399</v>
      </c>
    </row>
    <row r="143" spans="1:12" x14ac:dyDescent="0.25">
      <c r="A143">
        <v>142</v>
      </c>
      <c r="B143" s="3">
        <v>163347032</v>
      </c>
      <c r="C143" t="s">
        <v>220</v>
      </c>
      <c r="D143">
        <v>4</v>
      </c>
      <c r="E143" t="s">
        <v>41</v>
      </c>
      <c r="F143" s="1">
        <v>29312</v>
      </c>
      <c r="G143" t="s">
        <v>12</v>
      </c>
      <c r="H143" s="1">
        <v>43891</v>
      </c>
      <c r="I143">
        <v>0</v>
      </c>
      <c r="J143">
        <v>3</v>
      </c>
      <c r="K143">
        <v>21</v>
      </c>
      <c r="L143" s="4">
        <v>111874</v>
      </c>
    </row>
    <row r="144" spans="1:12" x14ac:dyDescent="0.25">
      <c r="A144">
        <v>143</v>
      </c>
      <c r="B144" s="3">
        <v>56772045</v>
      </c>
      <c r="C144" t="s">
        <v>221</v>
      </c>
      <c r="D144">
        <v>4</v>
      </c>
      <c r="E144" t="s">
        <v>41</v>
      </c>
      <c r="F144" s="1">
        <v>29831</v>
      </c>
      <c r="G144" t="s">
        <v>12</v>
      </c>
      <c r="H144" s="1">
        <v>43872</v>
      </c>
      <c r="I144">
        <v>0</v>
      </c>
      <c r="J144">
        <v>2</v>
      </c>
      <c r="K144">
        <v>21</v>
      </c>
      <c r="L144" s="4">
        <v>82471</v>
      </c>
    </row>
    <row r="145" spans="1:12" x14ac:dyDescent="0.25">
      <c r="A145">
        <v>144</v>
      </c>
      <c r="B145" s="3">
        <v>886023130</v>
      </c>
      <c r="C145" t="s">
        <v>222</v>
      </c>
      <c r="D145">
        <v>4</v>
      </c>
      <c r="E145" t="s">
        <v>41</v>
      </c>
      <c r="F145" s="1">
        <v>36831</v>
      </c>
      <c r="G145" t="s">
        <v>13</v>
      </c>
      <c r="H145" s="1">
        <v>43480</v>
      </c>
      <c r="I145">
        <v>0</v>
      </c>
      <c r="J145">
        <v>6</v>
      </c>
      <c r="K145">
        <v>23</v>
      </c>
      <c r="L145" s="4">
        <v>73495</v>
      </c>
    </row>
    <row r="146" spans="1:12" x14ac:dyDescent="0.25">
      <c r="A146">
        <v>145</v>
      </c>
      <c r="B146" s="3">
        <v>386315192</v>
      </c>
      <c r="C146" t="s">
        <v>223</v>
      </c>
      <c r="D146">
        <v>3</v>
      </c>
      <c r="E146" t="s">
        <v>33</v>
      </c>
      <c r="F146" s="1">
        <v>33466</v>
      </c>
      <c r="G146" t="s">
        <v>12</v>
      </c>
      <c r="H146" s="1">
        <v>43490</v>
      </c>
      <c r="I146">
        <v>0</v>
      </c>
      <c r="J146">
        <v>69</v>
      </c>
      <c r="K146">
        <v>54</v>
      </c>
      <c r="L146" s="4">
        <v>178349</v>
      </c>
    </row>
    <row r="147" spans="1:12" x14ac:dyDescent="0.25">
      <c r="A147">
        <v>146</v>
      </c>
      <c r="B147" s="3">
        <v>160739235</v>
      </c>
      <c r="C147" t="s">
        <v>224</v>
      </c>
      <c r="D147">
        <v>4</v>
      </c>
      <c r="E147" t="s">
        <v>34</v>
      </c>
      <c r="F147" s="1">
        <v>36334</v>
      </c>
      <c r="G147" t="s">
        <v>12</v>
      </c>
      <c r="H147" s="1">
        <v>43439</v>
      </c>
      <c r="I147">
        <v>0</v>
      </c>
      <c r="J147">
        <v>36</v>
      </c>
      <c r="K147">
        <v>38</v>
      </c>
      <c r="L147" s="4">
        <v>112900</v>
      </c>
    </row>
    <row r="148" spans="1:12" x14ac:dyDescent="0.25">
      <c r="A148">
        <v>147</v>
      </c>
      <c r="B148" s="3">
        <v>604664374</v>
      </c>
      <c r="C148" t="s">
        <v>225</v>
      </c>
      <c r="D148">
        <v>4</v>
      </c>
      <c r="E148" t="s">
        <v>34</v>
      </c>
      <c r="F148" s="1">
        <v>31353</v>
      </c>
      <c r="G148" t="s">
        <v>13</v>
      </c>
      <c r="H148" s="1">
        <v>43458</v>
      </c>
      <c r="I148">
        <v>0</v>
      </c>
      <c r="J148">
        <v>37</v>
      </c>
      <c r="K148">
        <v>38</v>
      </c>
      <c r="L148" s="4">
        <v>92262</v>
      </c>
    </row>
    <row r="149" spans="1:12" x14ac:dyDescent="0.25">
      <c r="A149">
        <v>148</v>
      </c>
      <c r="B149" s="3">
        <v>733022683</v>
      </c>
      <c r="C149" t="s">
        <v>226</v>
      </c>
      <c r="D149">
        <v>4</v>
      </c>
      <c r="E149" t="s">
        <v>34</v>
      </c>
      <c r="F149" s="1">
        <v>36134</v>
      </c>
      <c r="G149" t="s">
        <v>12</v>
      </c>
      <c r="H149" s="1">
        <v>43477</v>
      </c>
      <c r="I149">
        <v>0</v>
      </c>
      <c r="J149">
        <v>38</v>
      </c>
      <c r="K149">
        <v>39</v>
      </c>
      <c r="L149" s="4">
        <v>118956</v>
      </c>
    </row>
    <row r="150" spans="1:12" x14ac:dyDescent="0.25">
      <c r="A150">
        <v>149</v>
      </c>
      <c r="B150" s="3">
        <v>764853868</v>
      </c>
      <c r="C150" t="s">
        <v>227</v>
      </c>
      <c r="D150">
        <v>4</v>
      </c>
      <c r="E150" t="s">
        <v>34</v>
      </c>
      <c r="F150" s="1">
        <v>34259</v>
      </c>
      <c r="G150" t="s">
        <v>13</v>
      </c>
      <c r="H150" s="1">
        <v>43494</v>
      </c>
      <c r="I150">
        <v>0</v>
      </c>
      <c r="J150">
        <v>39</v>
      </c>
      <c r="K150">
        <v>39</v>
      </c>
      <c r="L150" s="4">
        <v>64912</v>
      </c>
    </row>
    <row r="151" spans="1:12" x14ac:dyDescent="0.25">
      <c r="A151">
        <v>150</v>
      </c>
      <c r="B151" s="3">
        <v>878395493</v>
      </c>
      <c r="C151" t="s">
        <v>228</v>
      </c>
      <c r="D151">
        <v>4</v>
      </c>
      <c r="E151" t="s">
        <v>34</v>
      </c>
      <c r="F151" s="1">
        <v>33862</v>
      </c>
      <c r="G151" t="s">
        <v>13</v>
      </c>
      <c r="H151" s="1">
        <v>43520</v>
      </c>
      <c r="I151">
        <v>0</v>
      </c>
      <c r="J151">
        <v>35</v>
      </c>
      <c r="K151">
        <v>37</v>
      </c>
      <c r="L151" s="4">
        <v>79605</v>
      </c>
    </row>
    <row r="152" spans="1:12" x14ac:dyDescent="0.25">
      <c r="A152">
        <v>151</v>
      </c>
      <c r="B152" s="3">
        <v>993310268</v>
      </c>
      <c r="C152" t="s">
        <v>229</v>
      </c>
      <c r="D152">
        <v>4</v>
      </c>
      <c r="E152" t="s">
        <v>34</v>
      </c>
      <c r="F152" s="1">
        <v>32031</v>
      </c>
      <c r="G152" t="s">
        <v>13</v>
      </c>
      <c r="H152" s="1">
        <v>43513</v>
      </c>
      <c r="I152">
        <v>0</v>
      </c>
      <c r="J152">
        <v>40</v>
      </c>
      <c r="K152">
        <v>40</v>
      </c>
      <c r="L152" s="4">
        <v>65273</v>
      </c>
    </row>
    <row r="153" spans="1:12" x14ac:dyDescent="0.25">
      <c r="A153">
        <v>152</v>
      </c>
      <c r="B153" s="3">
        <v>319472946</v>
      </c>
      <c r="C153" t="s">
        <v>230</v>
      </c>
      <c r="D153">
        <v>3</v>
      </c>
      <c r="E153" t="s">
        <v>40</v>
      </c>
      <c r="F153" s="1">
        <v>31871</v>
      </c>
      <c r="G153" t="s">
        <v>13</v>
      </c>
      <c r="H153" s="1">
        <v>43495</v>
      </c>
      <c r="I153">
        <v>0</v>
      </c>
      <c r="J153">
        <v>41</v>
      </c>
      <c r="K153">
        <v>40</v>
      </c>
      <c r="L153" s="4">
        <v>165553</v>
      </c>
    </row>
    <row r="154" spans="1:12" x14ac:dyDescent="0.25">
      <c r="A154">
        <v>153</v>
      </c>
      <c r="B154" s="3">
        <v>568596888</v>
      </c>
      <c r="C154" t="s">
        <v>231</v>
      </c>
      <c r="D154">
        <v>4</v>
      </c>
      <c r="E154" t="s">
        <v>41</v>
      </c>
      <c r="F154" s="1">
        <v>30968</v>
      </c>
      <c r="G154" t="s">
        <v>12</v>
      </c>
      <c r="H154" s="1">
        <v>43448</v>
      </c>
      <c r="I154">
        <v>0</v>
      </c>
      <c r="J154">
        <v>15</v>
      </c>
      <c r="K154">
        <v>27</v>
      </c>
      <c r="L154" s="4">
        <v>80791</v>
      </c>
    </row>
    <row r="155" spans="1:12" x14ac:dyDescent="0.25">
      <c r="A155">
        <v>154</v>
      </c>
      <c r="B155" s="3">
        <v>97728960</v>
      </c>
      <c r="C155" t="s">
        <v>232</v>
      </c>
      <c r="D155">
        <v>4</v>
      </c>
      <c r="E155" t="s">
        <v>41</v>
      </c>
      <c r="F155" s="1">
        <v>28183</v>
      </c>
      <c r="G155" t="s">
        <v>13</v>
      </c>
      <c r="H155" s="1">
        <v>43455</v>
      </c>
      <c r="I155">
        <v>0</v>
      </c>
      <c r="J155">
        <v>10</v>
      </c>
      <c r="K155">
        <v>25</v>
      </c>
      <c r="L155" s="4">
        <v>72565</v>
      </c>
    </row>
    <row r="156" spans="1:12" x14ac:dyDescent="0.25">
      <c r="A156">
        <v>155</v>
      </c>
      <c r="B156" s="3">
        <v>212801092</v>
      </c>
      <c r="C156" t="s">
        <v>233</v>
      </c>
      <c r="D156">
        <v>4</v>
      </c>
      <c r="E156" t="s">
        <v>41</v>
      </c>
      <c r="F156" s="1">
        <v>36204</v>
      </c>
      <c r="G156" t="s">
        <v>12</v>
      </c>
      <c r="H156" s="1">
        <v>43467</v>
      </c>
      <c r="I156">
        <v>0</v>
      </c>
      <c r="J156">
        <v>16</v>
      </c>
      <c r="K156">
        <v>28</v>
      </c>
      <c r="L156" s="4">
        <v>93590</v>
      </c>
    </row>
    <row r="157" spans="1:12" x14ac:dyDescent="0.25">
      <c r="A157">
        <v>156</v>
      </c>
      <c r="B157" s="3">
        <v>322160340</v>
      </c>
      <c r="C157" t="s">
        <v>234</v>
      </c>
      <c r="D157">
        <v>4</v>
      </c>
      <c r="E157" t="s">
        <v>41</v>
      </c>
      <c r="F157" s="1">
        <v>30945</v>
      </c>
      <c r="G157" t="s">
        <v>13</v>
      </c>
      <c r="H157" s="1">
        <v>43474</v>
      </c>
      <c r="I157">
        <v>0</v>
      </c>
      <c r="J157">
        <v>11</v>
      </c>
      <c r="K157">
        <v>25</v>
      </c>
      <c r="L157" s="4">
        <v>93693</v>
      </c>
    </row>
    <row r="158" spans="1:12" x14ac:dyDescent="0.25">
      <c r="A158">
        <v>157</v>
      </c>
      <c r="B158" s="3">
        <v>812797414</v>
      </c>
      <c r="C158" t="s">
        <v>235</v>
      </c>
      <c r="D158">
        <v>4</v>
      </c>
      <c r="E158" t="s">
        <v>41</v>
      </c>
      <c r="F158" s="1">
        <v>32053</v>
      </c>
      <c r="G158" t="s">
        <v>12</v>
      </c>
      <c r="H158" s="1">
        <v>43497</v>
      </c>
      <c r="I158">
        <v>0</v>
      </c>
      <c r="J158">
        <v>12</v>
      </c>
      <c r="K158">
        <v>26</v>
      </c>
      <c r="L158" s="4">
        <v>113723</v>
      </c>
    </row>
    <row r="159" spans="1:12" x14ac:dyDescent="0.25">
      <c r="A159">
        <v>158</v>
      </c>
      <c r="B159" s="3">
        <v>300946911</v>
      </c>
      <c r="C159" t="s">
        <v>236</v>
      </c>
      <c r="D159">
        <v>4</v>
      </c>
      <c r="E159" t="s">
        <v>41</v>
      </c>
      <c r="F159" s="1">
        <v>35404</v>
      </c>
      <c r="G159" t="s">
        <v>12</v>
      </c>
      <c r="H159" s="1">
        <v>43529</v>
      </c>
      <c r="I159">
        <v>0</v>
      </c>
      <c r="J159">
        <v>14</v>
      </c>
      <c r="K159">
        <v>27</v>
      </c>
      <c r="L159" s="4">
        <v>97707</v>
      </c>
    </row>
    <row r="160" spans="1:12" x14ac:dyDescent="0.25">
      <c r="A160">
        <v>159</v>
      </c>
      <c r="B160" s="3">
        <v>404159499</v>
      </c>
      <c r="C160" t="s">
        <v>237</v>
      </c>
      <c r="D160">
        <v>4</v>
      </c>
      <c r="E160" t="s">
        <v>41</v>
      </c>
      <c r="F160" s="1">
        <v>34674</v>
      </c>
      <c r="G160" t="s">
        <v>12</v>
      </c>
      <c r="H160" s="1">
        <v>43510</v>
      </c>
      <c r="I160">
        <v>0</v>
      </c>
      <c r="J160">
        <v>13</v>
      </c>
      <c r="K160">
        <v>26</v>
      </c>
      <c r="L160" s="4">
        <v>117022</v>
      </c>
    </row>
    <row r="161" spans="1:12" x14ac:dyDescent="0.25">
      <c r="A161">
        <v>160</v>
      </c>
      <c r="B161" s="3">
        <v>712885347</v>
      </c>
      <c r="C161" t="s">
        <v>238</v>
      </c>
      <c r="D161">
        <v>3</v>
      </c>
      <c r="E161" t="s">
        <v>42</v>
      </c>
      <c r="F161" s="1">
        <v>31790</v>
      </c>
      <c r="G161" t="s">
        <v>13</v>
      </c>
      <c r="H161" s="1">
        <v>43484</v>
      </c>
      <c r="I161">
        <v>0</v>
      </c>
      <c r="J161">
        <v>74</v>
      </c>
      <c r="K161">
        <v>57</v>
      </c>
      <c r="L161" s="4">
        <v>158174</v>
      </c>
    </row>
    <row r="162" spans="1:12" x14ac:dyDescent="0.25">
      <c r="A162">
        <v>161</v>
      </c>
      <c r="B162" s="3">
        <v>275962311</v>
      </c>
      <c r="C162" t="s">
        <v>239</v>
      </c>
      <c r="D162">
        <v>4</v>
      </c>
      <c r="E162" t="s">
        <v>43</v>
      </c>
      <c r="F162" s="1">
        <v>34734</v>
      </c>
      <c r="G162" t="s">
        <v>12</v>
      </c>
      <c r="H162" s="1">
        <v>43447</v>
      </c>
      <c r="I162">
        <v>0</v>
      </c>
      <c r="J162">
        <v>74</v>
      </c>
      <c r="K162">
        <v>57</v>
      </c>
      <c r="L162" s="4">
        <v>81005</v>
      </c>
    </row>
    <row r="163" spans="1:12" x14ac:dyDescent="0.25">
      <c r="A163">
        <v>162</v>
      </c>
      <c r="B163" s="3">
        <v>514829225</v>
      </c>
      <c r="C163" t="s">
        <v>240</v>
      </c>
      <c r="D163">
        <v>4</v>
      </c>
      <c r="E163" t="s">
        <v>43</v>
      </c>
      <c r="F163" s="1">
        <v>33230</v>
      </c>
      <c r="G163" t="s">
        <v>12</v>
      </c>
      <c r="H163" s="1">
        <v>43466</v>
      </c>
      <c r="I163">
        <v>0</v>
      </c>
      <c r="J163">
        <v>75</v>
      </c>
      <c r="K163">
        <v>57</v>
      </c>
      <c r="L163" s="4">
        <v>90941</v>
      </c>
    </row>
    <row r="164" spans="1:12" x14ac:dyDescent="0.25">
      <c r="A164">
        <v>163</v>
      </c>
      <c r="B164" s="3">
        <v>377784364</v>
      </c>
      <c r="C164" t="s">
        <v>241</v>
      </c>
      <c r="D164">
        <v>4</v>
      </c>
      <c r="E164" t="s">
        <v>43</v>
      </c>
      <c r="F164" s="1">
        <v>36626</v>
      </c>
      <c r="G164" t="s">
        <v>13</v>
      </c>
      <c r="H164" s="1">
        <v>43502</v>
      </c>
      <c r="I164">
        <v>0</v>
      </c>
      <c r="J164">
        <v>77</v>
      </c>
      <c r="K164">
        <v>58</v>
      </c>
      <c r="L164" s="4">
        <v>70099</v>
      </c>
    </row>
    <row r="165" spans="1:12" x14ac:dyDescent="0.25">
      <c r="A165">
        <v>164</v>
      </c>
      <c r="B165" s="3">
        <v>65848458</v>
      </c>
      <c r="C165" t="s">
        <v>242</v>
      </c>
      <c r="D165">
        <v>4</v>
      </c>
      <c r="E165" t="s">
        <v>43</v>
      </c>
      <c r="F165" s="1">
        <v>36060</v>
      </c>
      <c r="G165" t="s">
        <v>12</v>
      </c>
      <c r="H165" s="1">
        <v>43528</v>
      </c>
      <c r="I165">
        <v>0</v>
      </c>
      <c r="J165">
        <v>73</v>
      </c>
      <c r="K165">
        <v>56</v>
      </c>
      <c r="L165" s="4">
        <v>112225</v>
      </c>
    </row>
    <row r="166" spans="1:12" x14ac:dyDescent="0.25">
      <c r="A166">
        <v>165</v>
      </c>
      <c r="B166" s="3">
        <v>539490372</v>
      </c>
      <c r="C166" t="s">
        <v>243</v>
      </c>
      <c r="D166">
        <v>4</v>
      </c>
      <c r="E166" t="s">
        <v>43</v>
      </c>
      <c r="F166" s="1">
        <v>36143</v>
      </c>
      <c r="G166" t="s">
        <v>13</v>
      </c>
      <c r="H166" s="1">
        <v>43485</v>
      </c>
      <c r="I166">
        <v>0</v>
      </c>
      <c r="J166">
        <v>76</v>
      </c>
      <c r="K166">
        <v>58</v>
      </c>
      <c r="L166" s="4">
        <v>113385</v>
      </c>
    </row>
    <row r="167" spans="1:12" x14ac:dyDescent="0.25">
      <c r="A167">
        <v>166</v>
      </c>
      <c r="B167" s="3">
        <v>60114406</v>
      </c>
      <c r="C167" t="s">
        <v>244</v>
      </c>
      <c r="D167">
        <v>3</v>
      </c>
      <c r="E167" t="s">
        <v>33</v>
      </c>
      <c r="F167" s="1">
        <v>34139</v>
      </c>
      <c r="G167" t="s">
        <v>12</v>
      </c>
      <c r="H167" s="1">
        <v>43515</v>
      </c>
      <c r="I167">
        <v>0</v>
      </c>
      <c r="J167">
        <v>68</v>
      </c>
      <c r="K167">
        <v>54</v>
      </c>
      <c r="L167" s="4">
        <v>173285</v>
      </c>
    </row>
    <row r="168" spans="1:12" x14ac:dyDescent="0.25">
      <c r="A168">
        <v>167</v>
      </c>
      <c r="B168" s="3">
        <v>498138869</v>
      </c>
      <c r="C168" t="s">
        <v>245</v>
      </c>
      <c r="D168">
        <v>4</v>
      </c>
      <c r="E168" t="s">
        <v>34</v>
      </c>
      <c r="F168" s="1">
        <v>32811</v>
      </c>
      <c r="G168" t="s">
        <v>12</v>
      </c>
      <c r="H168" s="1">
        <v>43434</v>
      </c>
      <c r="I168">
        <v>0</v>
      </c>
      <c r="J168">
        <v>25</v>
      </c>
      <c r="K168">
        <v>32</v>
      </c>
      <c r="L168" s="4">
        <v>101768</v>
      </c>
    </row>
    <row r="169" spans="1:12" x14ac:dyDescent="0.25">
      <c r="A169">
        <v>168</v>
      </c>
      <c r="B169" s="3">
        <v>271438431</v>
      </c>
      <c r="C169" t="s">
        <v>246</v>
      </c>
      <c r="D169">
        <v>4</v>
      </c>
      <c r="E169" t="s">
        <v>34</v>
      </c>
      <c r="F169" s="1">
        <v>34569</v>
      </c>
      <c r="G169" t="s">
        <v>12</v>
      </c>
      <c r="H169" s="1">
        <v>43439</v>
      </c>
      <c r="I169">
        <v>0</v>
      </c>
      <c r="J169">
        <v>34</v>
      </c>
      <c r="K169">
        <v>37</v>
      </c>
      <c r="L169" s="4">
        <v>88253</v>
      </c>
    </row>
    <row r="170" spans="1:12" x14ac:dyDescent="0.25">
      <c r="A170">
        <v>169</v>
      </c>
      <c r="B170" s="3">
        <v>351069889</v>
      </c>
      <c r="C170" t="s">
        <v>247</v>
      </c>
      <c r="D170">
        <v>4</v>
      </c>
      <c r="E170" t="s">
        <v>34</v>
      </c>
      <c r="F170" s="1">
        <v>34058</v>
      </c>
      <c r="G170" t="s">
        <v>12</v>
      </c>
      <c r="H170" s="1">
        <v>43446</v>
      </c>
      <c r="I170">
        <v>0</v>
      </c>
      <c r="J170">
        <v>131</v>
      </c>
      <c r="K170">
        <v>35</v>
      </c>
      <c r="L170" s="4">
        <v>118647</v>
      </c>
    </row>
    <row r="171" spans="1:12" x14ac:dyDescent="0.25">
      <c r="A171">
        <v>170</v>
      </c>
      <c r="B171" s="3">
        <v>476115505</v>
      </c>
      <c r="C171" t="s">
        <v>248</v>
      </c>
      <c r="D171">
        <v>4</v>
      </c>
      <c r="E171" t="s">
        <v>34</v>
      </c>
      <c r="F171" s="1">
        <v>31881</v>
      </c>
      <c r="G171" t="s">
        <v>13</v>
      </c>
      <c r="H171" s="1">
        <v>43453</v>
      </c>
      <c r="I171">
        <v>0</v>
      </c>
      <c r="J171">
        <v>26</v>
      </c>
      <c r="K171">
        <v>33</v>
      </c>
      <c r="L171" s="4">
        <v>112041</v>
      </c>
    </row>
    <row r="172" spans="1:12" x14ac:dyDescent="0.25">
      <c r="A172">
        <v>171</v>
      </c>
      <c r="B172" s="3">
        <v>746373306</v>
      </c>
      <c r="C172" t="s">
        <v>249</v>
      </c>
      <c r="D172">
        <v>4</v>
      </c>
      <c r="E172" t="s">
        <v>34</v>
      </c>
      <c r="F172" s="1">
        <v>33451</v>
      </c>
      <c r="G172" t="s">
        <v>12</v>
      </c>
      <c r="H172" s="1">
        <v>43465</v>
      </c>
      <c r="I172">
        <v>0</v>
      </c>
      <c r="J172">
        <v>32</v>
      </c>
      <c r="K172">
        <v>36</v>
      </c>
      <c r="L172" s="4">
        <v>77376</v>
      </c>
    </row>
    <row r="173" spans="1:12" x14ac:dyDescent="0.25">
      <c r="A173">
        <v>172</v>
      </c>
      <c r="B173" s="3">
        <v>364818297</v>
      </c>
      <c r="C173" s="2" t="s">
        <v>368</v>
      </c>
      <c r="D173">
        <v>4</v>
      </c>
      <c r="E173" t="s">
        <v>34</v>
      </c>
      <c r="F173" s="1">
        <v>35359</v>
      </c>
      <c r="G173" t="s">
        <v>13</v>
      </c>
      <c r="H173" s="1">
        <v>43479</v>
      </c>
      <c r="I173">
        <v>0</v>
      </c>
      <c r="J173">
        <v>22</v>
      </c>
      <c r="K173">
        <v>31</v>
      </c>
      <c r="L173" s="4">
        <v>61787</v>
      </c>
    </row>
    <row r="174" spans="1:12" x14ac:dyDescent="0.25">
      <c r="A174">
        <v>173</v>
      </c>
      <c r="B174" s="3">
        <v>87268837</v>
      </c>
      <c r="C174" t="s">
        <v>250</v>
      </c>
      <c r="D174">
        <v>4</v>
      </c>
      <c r="E174" t="s">
        <v>34</v>
      </c>
      <c r="F174" s="1">
        <v>35623</v>
      </c>
      <c r="G174" t="s">
        <v>12</v>
      </c>
      <c r="H174" s="1">
        <v>43484</v>
      </c>
      <c r="I174">
        <v>0</v>
      </c>
      <c r="J174">
        <v>33</v>
      </c>
      <c r="K174">
        <v>36</v>
      </c>
      <c r="L174" s="4">
        <v>60903</v>
      </c>
    </row>
    <row r="175" spans="1:12" x14ac:dyDescent="0.25">
      <c r="A175">
        <v>174</v>
      </c>
      <c r="B175" s="3">
        <v>585408256</v>
      </c>
      <c r="C175" t="s">
        <v>251</v>
      </c>
      <c r="D175">
        <v>4</v>
      </c>
      <c r="E175" t="s">
        <v>34</v>
      </c>
      <c r="F175" s="1">
        <v>35067</v>
      </c>
      <c r="G175" t="s">
        <v>12</v>
      </c>
      <c r="H175" s="1">
        <v>43490</v>
      </c>
      <c r="I175">
        <v>0</v>
      </c>
      <c r="J175">
        <v>28</v>
      </c>
      <c r="K175">
        <v>34</v>
      </c>
      <c r="L175" s="4">
        <v>76946</v>
      </c>
    </row>
    <row r="176" spans="1:12" x14ac:dyDescent="0.25">
      <c r="A176">
        <v>175</v>
      </c>
      <c r="B176" s="3">
        <v>259388196</v>
      </c>
      <c r="C176" t="s">
        <v>252</v>
      </c>
      <c r="D176">
        <v>4</v>
      </c>
      <c r="E176" t="s">
        <v>34</v>
      </c>
      <c r="F176" s="1">
        <v>36166</v>
      </c>
      <c r="G176" t="s">
        <v>13</v>
      </c>
      <c r="H176" s="1">
        <v>43496</v>
      </c>
      <c r="I176">
        <v>0</v>
      </c>
      <c r="J176">
        <v>23</v>
      </c>
      <c r="K176">
        <v>31</v>
      </c>
      <c r="L176" s="4">
        <v>83034</v>
      </c>
    </row>
    <row r="177" spans="1:12" x14ac:dyDescent="0.25">
      <c r="A177">
        <v>176</v>
      </c>
      <c r="B177" s="3">
        <v>860123571</v>
      </c>
      <c r="C177" t="s">
        <v>253</v>
      </c>
      <c r="D177">
        <v>4</v>
      </c>
      <c r="E177" t="s">
        <v>34</v>
      </c>
      <c r="F177" s="1">
        <v>34963</v>
      </c>
      <c r="G177" t="s">
        <v>13</v>
      </c>
      <c r="H177" s="1">
        <v>43508</v>
      </c>
      <c r="I177">
        <v>0</v>
      </c>
      <c r="J177">
        <v>29</v>
      </c>
      <c r="K177">
        <v>34</v>
      </c>
      <c r="L177" s="4">
        <v>74524</v>
      </c>
    </row>
    <row r="178" spans="1:12" x14ac:dyDescent="0.25">
      <c r="A178">
        <v>177</v>
      </c>
      <c r="B178" s="3">
        <v>551346974</v>
      </c>
      <c r="C178" t="s">
        <v>254</v>
      </c>
      <c r="D178">
        <v>4</v>
      </c>
      <c r="E178" t="s">
        <v>34</v>
      </c>
      <c r="F178" s="1">
        <v>33643</v>
      </c>
      <c r="G178" t="s">
        <v>13</v>
      </c>
      <c r="H178" s="1">
        <v>43515</v>
      </c>
      <c r="I178">
        <v>0</v>
      </c>
      <c r="J178">
        <v>24</v>
      </c>
      <c r="K178">
        <v>32</v>
      </c>
      <c r="L178" s="4">
        <v>91991</v>
      </c>
    </row>
    <row r="179" spans="1:12" x14ac:dyDescent="0.25">
      <c r="A179">
        <v>178</v>
      </c>
      <c r="B179" s="3">
        <v>568626529</v>
      </c>
      <c r="C179" t="s">
        <v>255</v>
      </c>
      <c r="D179">
        <v>4</v>
      </c>
      <c r="E179" t="s">
        <v>34</v>
      </c>
      <c r="F179" s="1">
        <v>33684</v>
      </c>
      <c r="G179" t="s">
        <v>12</v>
      </c>
      <c r="H179" s="1">
        <v>43525</v>
      </c>
      <c r="I179">
        <v>0</v>
      </c>
      <c r="J179">
        <v>27</v>
      </c>
      <c r="K179">
        <v>33</v>
      </c>
      <c r="L179" s="4">
        <v>90761</v>
      </c>
    </row>
    <row r="180" spans="1:12" x14ac:dyDescent="0.25">
      <c r="A180">
        <v>179</v>
      </c>
      <c r="B180" s="3">
        <v>587567941</v>
      </c>
      <c r="C180" s="2" t="s">
        <v>369</v>
      </c>
      <c r="D180">
        <v>4</v>
      </c>
      <c r="E180" t="s">
        <v>34</v>
      </c>
      <c r="F180" s="1">
        <v>30998</v>
      </c>
      <c r="G180" t="s">
        <v>12</v>
      </c>
      <c r="H180" s="1">
        <v>43527</v>
      </c>
      <c r="I180">
        <v>0</v>
      </c>
      <c r="J180">
        <v>30</v>
      </c>
      <c r="K180">
        <v>35</v>
      </c>
      <c r="L180" s="4">
        <v>102626</v>
      </c>
    </row>
    <row r="181" spans="1:12" x14ac:dyDescent="0.25">
      <c r="A181">
        <v>180</v>
      </c>
      <c r="B181" s="3">
        <v>862951447</v>
      </c>
      <c r="C181" t="s">
        <v>256</v>
      </c>
      <c r="D181">
        <v>3</v>
      </c>
      <c r="E181" t="s">
        <v>40</v>
      </c>
      <c r="F181" s="1">
        <v>34654</v>
      </c>
      <c r="G181" t="s">
        <v>12</v>
      </c>
      <c r="H181" s="1">
        <v>43514</v>
      </c>
      <c r="I181">
        <v>0</v>
      </c>
      <c r="J181">
        <v>42</v>
      </c>
      <c r="K181">
        <v>41</v>
      </c>
      <c r="L181" s="4">
        <v>168666</v>
      </c>
    </row>
    <row r="182" spans="1:12" x14ac:dyDescent="0.25">
      <c r="A182">
        <v>181</v>
      </c>
      <c r="B182" s="3">
        <v>545337468</v>
      </c>
      <c r="C182" t="s">
        <v>257</v>
      </c>
      <c r="D182">
        <v>4</v>
      </c>
      <c r="E182" t="s">
        <v>41</v>
      </c>
      <c r="F182" s="1">
        <v>34653</v>
      </c>
      <c r="G182" t="s">
        <v>12</v>
      </c>
      <c r="H182" s="1">
        <v>43441</v>
      </c>
      <c r="I182">
        <v>0</v>
      </c>
      <c r="J182">
        <v>20</v>
      </c>
      <c r="K182">
        <v>30</v>
      </c>
      <c r="L182" s="4">
        <v>119031</v>
      </c>
    </row>
    <row r="183" spans="1:12" x14ac:dyDescent="0.25">
      <c r="A183">
        <v>182</v>
      </c>
      <c r="B183" s="3">
        <v>368920189</v>
      </c>
      <c r="C183" t="s">
        <v>258</v>
      </c>
      <c r="D183">
        <v>4</v>
      </c>
      <c r="E183" t="s">
        <v>41</v>
      </c>
      <c r="F183" s="1">
        <v>35397</v>
      </c>
      <c r="G183" t="s">
        <v>12</v>
      </c>
      <c r="H183" s="1">
        <v>43460</v>
      </c>
      <c r="I183">
        <v>0</v>
      </c>
      <c r="J183">
        <v>21</v>
      </c>
      <c r="K183">
        <v>30</v>
      </c>
      <c r="L183" s="4">
        <v>74629</v>
      </c>
    </row>
    <row r="184" spans="1:12" x14ac:dyDescent="0.25">
      <c r="A184">
        <v>183</v>
      </c>
      <c r="B184" s="3">
        <v>969985265</v>
      </c>
      <c r="C184" t="s">
        <v>259</v>
      </c>
      <c r="D184">
        <v>4</v>
      </c>
      <c r="E184" t="s">
        <v>41</v>
      </c>
      <c r="F184" s="1">
        <v>32688</v>
      </c>
      <c r="G184" t="s">
        <v>13</v>
      </c>
      <c r="H184" s="1">
        <v>43485</v>
      </c>
      <c r="I184">
        <v>0</v>
      </c>
      <c r="J184">
        <v>17</v>
      </c>
      <c r="K184">
        <v>28</v>
      </c>
      <c r="L184" s="4">
        <v>92019</v>
      </c>
    </row>
    <row r="185" spans="1:12" x14ac:dyDescent="0.25">
      <c r="A185">
        <v>184</v>
      </c>
      <c r="B185" s="3">
        <v>305522471</v>
      </c>
      <c r="C185" t="s">
        <v>260</v>
      </c>
      <c r="D185">
        <v>4</v>
      </c>
      <c r="E185" t="s">
        <v>41</v>
      </c>
      <c r="F185" s="1">
        <v>35157</v>
      </c>
      <c r="G185" t="s">
        <v>13</v>
      </c>
      <c r="H185" s="1">
        <v>43503</v>
      </c>
      <c r="I185">
        <v>0</v>
      </c>
      <c r="J185">
        <v>18</v>
      </c>
      <c r="K185">
        <v>29</v>
      </c>
      <c r="L185" s="4">
        <v>113200</v>
      </c>
    </row>
    <row r="186" spans="1:12" x14ac:dyDescent="0.25">
      <c r="A186">
        <v>185</v>
      </c>
      <c r="B186" s="3">
        <v>621932914</v>
      </c>
      <c r="C186" t="s">
        <v>261</v>
      </c>
      <c r="D186">
        <v>4</v>
      </c>
      <c r="E186" t="s">
        <v>41</v>
      </c>
      <c r="F186" s="1">
        <v>31399</v>
      </c>
      <c r="G186" t="s">
        <v>12</v>
      </c>
      <c r="H186" s="1">
        <v>43522</v>
      </c>
      <c r="I186">
        <v>0</v>
      </c>
      <c r="J186">
        <v>19</v>
      </c>
      <c r="K186">
        <v>29</v>
      </c>
      <c r="L186" s="4">
        <v>85133</v>
      </c>
    </row>
    <row r="187" spans="1:12" x14ac:dyDescent="0.25">
      <c r="A187">
        <v>186</v>
      </c>
      <c r="B187" s="3">
        <v>551834634</v>
      </c>
      <c r="C187" t="s">
        <v>262</v>
      </c>
      <c r="D187">
        <v>3</v>
      </c>
      <c r="E187" t="s">
        <v>42</v>
      </c>
      <c r="F187" s="1">
        <v>36667</v>
      </c>
      <c r="G187" t="s">
        <v>12</v>
      </c>
      <c r="H187" s="1">
        <v>43502</v>
      </c>
      <c r="I187">
        <v>0</v>
      </c>
      <c r="J187">
        <v>75</v>
      </c>
      <c r="K187">
        <v>57</v>
      </c>
      <c r="L187" s="4">
        <v>171715</v>
      </c>
    </row>
    <row r="188" spans="1:12" x14ac:dyDescent="0.25">
      <c r="A188">
        <v>187</v>
      </c>
      <c r="B188" s="3">
        <v>713403643</v>
      </c>
      <c r="C188" t="s">
        <v>263</v>
      </c>
      <c r="D188">
        <v>4</v>
      </c>
      <c r="E188" t="s">
        <v>43</v>
      </c>
      <c r="F188" s="1">
        <v>36263</v>
      </c>
      <c r="G188" t="s">
        <v>13</v>
      </c>
      <c r="H188" s="1">
        <v>43441</v>
      </c>
      <c r="I188">
        <v>0</v>
      </c>
      <c r="J188">
        <v>79</v>
      </c>
      <c r="K188">
        <v>59</v>
      </c>
      <c r="L188" s="4">
        <v>92578</v>
      </c>
    </row>
    <row r="189" spans="1:12" x14ac:dyDescent="0.25">
      <c r="A189">
        <v>188</v>
      </c>
      <c r="B189" s="3">
        <v>435234965</v>
      </c>
      <c r="C189" t="s">
        <v>264</v>
      </c>
      <c r="D189">
        <v>4</v>
      </c>
      <c r="E189" t="s">
        <v>43</v>
      </c>
      <c r="F189" s="1">
        <v>35025</v>
      </c>
      <c r="G189" t="s">
        <v>13</v>
      </c>
      <c r="H189" s="1">
        <v>43459</v>
      </c>
      <c r="I189">
        <v>0</v>
      </c>
      <c r="J189">
        <v>80</v>
      </c>
      <c r="K189">
        <v>60</v>
      </c>
      <c r="L189" s="4">
        <v>97553</v>
      </c>
    </row>
    <row r="190" spans="1:12" x14ac:dyDescent="0.25">
      <c r="A190">
        <v>189</v>
      </c>
      <c r="B190" s="3">
        <v>187369436</v>
      </c>
      <c r="C190" t="s">
        <v>265</v>
      </c>
      <c r="D190">
        <v>4</v>
      </c>
      <c r="E190" t="s">
        <v>43</v>
      </c>
      <c r="F190" s="1">
        <v>30154</v>
      </c>
      <c r="G190" t="s">
        <v>12</v>
      </c>
      <c r="H190" s="1">
        <v>43478</v>
      </c>
      <c r="I190">
        <v>0</v>
      </c>
      <c r="J190">
        <v>81</v>
      </c>
      <c r="K190">
        <v>60</v>
      </c>
      <c r="L190" s="4">
        <v>84390</v>
      </c>
    </row>
    <row r="191" spans="1:12" x14ac:dyDescent="0.25">
      <c r="A191">
        <v>190</v>
      </c>
      <c r="B191" s="3">
        <v>456839592</v>
      </c>
      <c r="C191" t="s">
        <v>266</v>
      </c>
      <c r="D191">
        <v>4</v>
      </c>
      <c r="E191" t="s">
        <v>43</v>
      </c>
      <c r="F191" s="1">
        <v>34756</v>
      </c>
      <c r="G191" t="s">
        <v>12</v>
      </c>
      <c r="H191" s="1">
        <v>43496</v>
      </c>
      <c r="I191">
        <v>0</v>
      </c>
      <c r="J191">
        <v>82</v>
      </c>
      <c r="K191">
        <v>61</v>
      </c>
      <c r="L191" s="4">
        <v>67901</v>
      </c>
    </row>
    <row r="192" spans="1:12" x14ac:dyDescent="0.25">
      <c r="A192">
        <v>191</v>
      </c>
      <c r="B192" s="3">
        <v>399658727</v>
      </c>
      <c r="C192" t="s">
        <v>267</v>
      </c>
      <c r="D192">
        <v>4</v>
      </c>
      <c r="E192" t="s">
        <v>43</v>
      </c>
      <c r="F192" s="1">
        <v>35866</v>
      </c>
      <c r="G192" t="s">
        <v>12</v>
      </c>
      <c r="H192" s="1">
        <v>43520</v>
      </c>
      <c r="I192">
        <v>0</v>
      </c>
      <c r="J192">
        <v>78</v>
      </c>
      <c r="K192">
        <v>59</v>
      </c>
      <c r="L192" s="4">
        <v>74162</v>
      </c>
    </row>
    <row r="193" spans="1:12" x14ac:dyDescent="0.25">
      <c r="A193">
        <v>192</v>
      </c>
      <c r="B193" s="3">
        <v>634335025</v>
      </c>
      <c r="C193" t="s">
        <v>268</v>
      </c>
      <c r="D193">
        <v>3</v>
      </c>
      <c r="E193" t="s">
        <v>35</v>
      </c>
      <c r="F193" s="1">
        <v>34025</v>
      </c>
      <c r="G193" t="s">
        <v>13</v>
      </c>
      <c r="H193" s="1">
        <v>43527</v>
      </c>
      <c r="I193">
        <v>0</v>
      </c>
      <c r="J193">
        <v>71</v>
      </c>
      <c r="K193">
        <v>55</v>
      </c>
      <c r="L193" s="4">
        <v>187020</v>
      </c>
    </row>
    <row r="194" spans="1:12" x14ac:dyDescent="0.25">
      <c r="A194">
        <v>193</v>
      </c>
      <c r="B194" s="3">
        <v>761597760</v>
      </c>
      <c r="C194" t="s">
        <v>269</v>
      </c>
      <c r="D194">
        <v>4</v>
      </c>
      <c r="E194" t="s">
        <v>36</v>
      </c>
      <c r="F194" s="1">
        <v>36132</v>
      </c>
      <c r="G194" t="s">
        <v>12</v>
      </c>
      <c r="H194" s="1">
        <v>43438</v>
      </c>
      <c r="I194">
        <v>0</v>
      </c>
      <c r="J194">
        <v>52</v>
      </c>
      <c r="K194">
        <v>46</v>
      </c>
      <c r="L194" s="4">
        <v>103634</v>
      </c>
    </row>
    <row r="195" spans="1:12" x14ac:dyDescent="0.25">
      <c r="A195">
        <v>194</v>
      </c>
      <c r="B195" s="3">
        <v>295971920</v>
      </c>
      <c r="C195" t="s">
        <v>270</v>
      </c>
      <c r="D195">
        <v>4</v>
      </c>
      <c r="E195" t="s">
        <v>36</v>
      </c>
      <c r="F195" s="1">
        <v>36334</v>
      </c>
      <c r="G195" t="s">
        <v>12</v>
      </c>
      <c r="H195" s="1">
        <v>43444</v>
      </c>
      <c r="I195">
        <v>0</v>
      </c>
      <c r="J195">
        <v>47</v>
      </c>
      <c r="K195">
        <v>43</v>
      </c>
      <c r="L195" s="4">
        <v>98528</v>
      </c>
    </row>
    <row r="196" spans="1:12" x14ac:dyDescent="0.25">
      <c r="A196">
        <v>195</v>
      </c>
      <c r="B196" s="3">
        <v>918737118</v>
      </c>
      <c r="C196" t="s">
        <v>271</v>
      </c>
      <c r="D196">
        <v>4</v>
      </c>
      <c r="E196" t="s">
        <v>36</v>
      </c>
      <c r="F196" s="1">
        <v>35056</v>
      </c>
      <c r="G196" t="s">
        <v>12</v>
      </c>
      <c r="H196" s="1">
        <v>43449</v>
      </c>
      <c r="I196">
        <v>0</v>
      </c>
      <c r="J196">
        <v>58</v>
      </c>
      <c r="K196">
        <v>49</v>
      </c>
      <c r="L196" s="4">
        <v>99040</v>
      </c>
    </row>
    <row r="197" spans="1:12" x14ac:dyDescent="0.25">
      <c r="A197">
        <v>196</v>
      </c>
      <c r="B197" s="3">
        <v>370487086</v>
      </c>
      <c r="C197" t="s">
        <v>272</v>
      </c>
      <c r="D197">
        <v>4</v>
      </c>
      <c r="E197" t="s">
        <v>36</v>
      </c>
      <c r="F197" s="1">
        <v>33148</v>
      </c>
      <c r="G197" t="s">
        <v>13</v>
      </c>
      <c r="H197" s="1">
        <v>43456</v>
      </c>
      <c r="I197">
        <v>0</v>
      </c>
      <c r="J197">
        <v>53</v>
      </c>
      <c r="K197">
        <v>46</v>
      </c>
      <c r="L197" s="4">
        <v>116362</v>
      </c>
    </row>
    <row r="198" spans="1:12" x14ac:dyDescent="0.25">
      <c r="A198">
        <v>197</v>
      </c>
      <c r="B198" s="3">
        <v>632092621</v>
      </c>
      <c r="C198" t="s">
        <v>273</v>
      </c>
      <c r="D198">
        <v>4</v>
      </c>
      <c r="E198" t="s">
        <v>36</v>
      </c>
      <c r="F198" s="1">
        <v>32052</v>
      </c>
      <c r="G198" t="s">
        <v>13</v>
      </c>
      <c r="H198" s="1">
        <v>43463</v>
      </c>
      <c r="I198">
        <v>0</v>
      </c>
      <c r="J198">
        <v>48</v>
      </c>
      <c r="K198">
        <v>44</v>
      </c>
      <c r="L198" s="4">
        <v>63478</v>
      </c>
    </row>
    <row r="199" spans="1:12" x14ac:dyDescent="0.25">
      <c r="A199">
        <v>198</v>
      </c>
      <c r="B199" s="3">
        <v>19312190</v>
      </c>
      <c r="C199" t="s">
        <v>274</v>
      </c>
      <c r="D199">
        <v>4</v>
      </c>
      <c r="E199" t="s">
        <v>36</v>
      </c>
      <c r="F199" s="1">
        <v>36123</v>
      </c>
      <c r="G199" t="s">
        <v>13</v>
      </c>
      <c r="H199" s="1">
        <v>43467</v>
      </c>
      <c r="I199">
        <v>0</v>
      </c>
      <c r="J199">
        <v>49</v>
      </c>
      <c r="K199">
        <v>44</v>
      </c>
      <c r="L199" s="4">
        <v>88176</v>
      </c>
    </row>
    <row r="200" spans="1:12" x14ac:dyDescent="0.25">
      <c r="A200">
        <v>199</v>
      </c>
      <c r="B200" s="3">
        <v>992874797</v>
      </c>
      <c r="C200" t="s">
        <v>275</v>
      </c>
      <c r="D200">
        <v>4</v>
      </c>
      <c r="E200" t="s">
        <v>36</v>
      </c>
      <c r="F200" s="1">
        <v>35468</v>
      </c>
      <c r="G200" t="s">
        <v>13</v>
      </c>
      <c r="H200" s="1">
        <v>43475</v>
      </c>
      <c r="I200">
        <v>0</v>
      </c>
      <c r="J200">
        <v>54</v>
      </c>
      <c r="K200">
        <v>47</v>
      </c>
      <c r="L200" s="4">
        <v>86681</v>
      </c>
    </row>
    <row r="201" spans="1:12" x14ac:dyDescent="0.25">
      <c r="A201">
        <v>200</v>
      </c>
      <c r="B201" s="3">
        <v>749211824</v>
      </c>
      <c r="C201" t="s">
        <v>276</v>
      </c>
      <c r="D201">
        <v>4</v>
      </c>
      <c r="E201" t="s">
        <v>36</v>
      </c>
      <c r="F201" s="1">
        <v>35676</v>
      </c>
      <c r="G201" t="s">
        <v>13</v>
      </c>
      <c r="H201" s="1">
        <v>43480</v>
      </c>
      <c r="I201">
        <v>0</v>
      </c>
      <c r="J201">
        <v>56</v>
      </c>
      <c r="K201">
        <v>48</v>
      </c>
      <c r="L201" s="4">
        <v>74042</v>
      </c>
    </row>
    <row r="202" spans="1:12" x14ac:dyDescent="0.25">
      <c r="A202">
        <v>201</v>
      </c>
      <c r="B202" s="3">
        <v>746201340</v>
      </c>
      <c r="C202" t="s">
        <v>277</v>
      </c>
      <c r="D202">
        <v>4</v>
      </c>
      <c r="E202" t="s">
        <v>36</v>
      </c>
      <c r="F202" s="1">
        <v>31816</v>
      </c>
      <c r="G202" t="s">
        <v>12</v>
      </c>
      <c r="H202" s="1">
        <v>43492</v>
      </c>
      <c r="I202">
        <v>0</v>
      </c>
      <c r="J202">
        <v>55</v>
      </c>
      <c r="K202">
        <v>47</v>
      </c>
      <c r="L202" s="4">
        <v>93440</v>
      </c>
    </row>
    <row r="203" spans="1:12" x14ac:dyDescent="0.25">
      <c r="A203">
        <v>202</v>
      </c>
      <c r="B203" s="3">
        <v>436757988</v>
      </c>
      <c r="C203" t="s">
        <v>278</v>
      </c>
      <c r="D203">
        <v>4</v>
      </c>
      <c r="E203" t="s">
        <v>36</v>
      </c>
      <c r="F203" s="1">
        <v>36472</v>
      </c>
      <c r="G203" t="s">
        <v>12</v>
      </c>
      <c r="H203" s="1">
        <v>43499</v>
      </c>
      <c r="I203">
        <v>0</v>
      </c>
      <c r="J203">
        <v>50</v>
      </c>
      <c r="K203">
        <v>45</v>
      </c>
      <c r="L203" s="4">
        <v>61791</v>
      </c>
    </row>
    <row r="204" spans="1:12" x14ac:dyDescent="0.25">
      <c r="A204">
        <v>203</v>
      </c>
      <c r="B204" s="3">
        <v>693168613</v>
      </c>
      <c r="C204" t="s">
        <v>279</v>
      </c>
      <c r="D204">
        <v>4</v>
      </c>
      <c r="E204" t="s">
        <v>36</v>
      </c>
      <c r="F204" s="1">
        <v>33384</v>
      </c>
      <c r="G204" t="s">
        <v>13</v>
      </c>
      <c r="H204" s="1">
        <v>43518</v>
      </c>
      <c r="I204">
        <v>0</v>
      </c>
      <c r="J204">
        <v>51</v>
      </c>
      <c r="K204">
        <v>45</v>
      </c>
      <c r="L204" s="4">
        <v>67822</v>
      </c>
    </row>
    <row r="205" spans="1:12" x14ac:dyDescent="0.25">
      <c r="A205">
        <v>204</v>
      </c>
      <c r="B205" s="3">
        <v>440379437</v>
      </c>
      <c r="C205" t="s">
        <v>280</v>
      </c>
      <c r="D205">
        <v>4</v>
      </c>
      <c r="E205" t="s">
        <v>36</v>
      </c>
      <c r="F205" s="1">
        <v>35923</v>
      </c>
      <c r="G205" t="s">
        <v>13</v>
      </c>
      <c r="H205" s="1">
        <v>43530</v>
      </c>
      <c r="I205">
        <v>0</v>
      </c>
      <c r="J205">
        <v>57</v>
      </c>
      <c r="K205">
        <v>48</v>
      </c>
      <c r="L205" s="4">
        <v>85874</v>
      </c>
    </row>
    <row r="206" spans="1:12" x14ac:dyDescent="0.25">
      <c r="A206">
        <v>205</v>
      </c>
      <c r="B206" s="3">
        <v>332349500</v>
      </c>
      <c r="C206" t="s">
        <v>281</v>
      </c>
      <c r="D206">
        <v>3</v>
      </c>
      <c r="E206" t="s">
        <v>42</v>
      </c>
      <c r="F206" s="1">
        <v>33070</v>
      </c>
      <c r="G206" t="s">
        <v>12</v>
      </c>
      <c r="H206" s="1">
        <v>43520</v>
      </c>
      <c r="I206">
        <v>0</v>
      </c>
      <c r="J206">
        <v>76</v>
      </c>
      <c r="K206">
        <v>58</v>
      </c>
      <c r="L206" s="4">
        <v>184686</v>
      </c>
    </row>
    <row r="207" spans="1:12" x14ac:dyDescent="0.25">
      <c r="A207">
        <v>206</v>
      </c>
      <c r="B207" s="3">
        <v>835460180</v>
      </c>
      <c r="C207" t="s">
        <v>282</v>
      </c>
      <c r="D207">
        <v>4</v>
      </c>
      <c r="E207" t="s">
        <v>43</v>
      </c>
      <c r="F207" s="1">
        <v>26552</v>
      </c>
      <c r="G207" t="s">
        <v>12</v>
      </c>
      <c r="H207" s="1">
        <v>43434</v>
      </c>
      <c r="I207">
        <v>0</v>
      </c>
      <c r="J207">
        <v>84</v>
      </c>
      <c r="K207">
        <v>62</v>
      </c>
      <c r="L207" s="4">
        <v>116177</v>
      </c>
    </row>
    <row r="208" spans="1:12" x14ac:dyDescent="0.25">
      <c r="A208">
        <v>207</v>
      </c>
      <c r="B208" s="3">
        <v>687685941</v>
      </c>
      <c r="C208" t="s">
        <v>283</v>
      </c>
      <c r="D208">
        <v>4</v>
      </c>
      <c r="E208" t="s">
        <v>43</v>
      </c>
      <c r="F208" s="1">
        <v>29509</v>
      </c>
      <c r="G208" t="s">
        <v>12</v>
      </c>
      <c r="H208" s="1">
        <v>43434</v>
      </c>
      <c r="I208">
        <v>0</v>
      </c>
      <c r="J208">
        <v>85</v>
      </c>
      <c r="K208">
        <v>62</v>
      </c>
      <c r="L208" s="4">
        <v>61109</v>
      </c>
    </row>
    <row r="209" spans="1:12" x14ac:dyDescent="0.25">
      <c r="A209">
        <v>208</v>
      </c>
      <c r="B209" s="3">
        <v>199546871</v>
      </c>
      <c r="C209" t="s">
        <v>284</v>
      </c>
      <c r="D209">
        <v>4</v>
      </c>
      <c r="E209" t="s">
        <v>43</v>
      </c>
      <c r="F209" s="1">
        <v>35468</v>
      </c>
      <c r="G209" t="s">
        <v>13</v>
      </c>
      <c r="H209" s="1">
        <v>43471</v>
      </c>
      <c r="I209">
        <v>0</v>
      </c>
      <c r="J209">
        <v>86</v>
      </c>
      <c r="K209">
        <v>63</v>
      </c>
      <c r="L209" s="4">
        <v>88191</v>
      </c>
    </row>
    <row r="210" spans="1:12" x14ac:dyDescent="0.25">
      <c r="A210">
        <v>209</v>
      </c>
      <c r="B210" s="3">
        <v>167554340</v>
      </c>
      <c r="C210" t="s">
        <v>285</v>
      </c>
      <c r="D210">
        <v>4</v>
      </c>
      <c r="E210" t="s">
        <v>43</v>
      </c>
      <c r="F210" s="1">
        <v>36828</v>
      </c>
      <c r="G210" t="s">
        <v>13</v>
      </c>
      <c r="H210" s="1">
        <v>43490</v>
      </c>
      <c r="I210">
        <v>0</v>
      </c>
      <c r="J210">
        <v>87</v>
      </c>
      <c r="K210">
        <v>63</v>
      </c>
      <c r="L210" s="4">
        <v>80362</v>
      </c>
    </row>
    <row r="211" spans="1:12" x14ac:dyDescent="0.25">
      <c r="A211">
        <v>210</v>
      </c>
      <c r="B211" s="3">
        <v>20244403</v>
      </c>
      <c r="C211" t="s">
        <v>286</v>
      </c>
      <c r="D211">
        <v>4</v>
      </c>
      <c r="E211" t="s">
        <v>43</v>
      </c>
      <c r="F211" s="1">
        <v>29113</v>
      </c>
      <c r="G211" t="s">
        <v>12</v>
      </c>
      <c r="H211" s="1">
        <v>43514</v>
      </c>
      <c r="I211">
        <v>0</v>
      </c>
      <c r="J211">
        <v>83</v>
      </c>
      <c r="K211">
        <v>61</v>
      </c>
      <c r="L211" s="4">
        <v>78876</v>
      </c>
    </row>
    <row r="212" spans="1:12" x14ac:dyDescent="0.25">
      <c r="A212">
        <v>211</v>
      </c>
      <c r="B212" s="3">
        <v>398223854</v>
      </c>
      <c r="C212" t="s">
        <v>287</v>
      </c>
      <c r="D212">
        <v>2</v>
      </c>
      <c r="E212" t="s">
        <v>44</v>
      </c>
      <c r="F212" s="1">
        <v>32074</v>
      </c>
      <c r="G212" t="s">
        <v>12</v>
      </c>
      <c r="H212" s="1">
        <v>43522</v>
      </c>
      <c r="I212">
        <v>1</v>
      </c>
      <c r="J212">
        <v>80</v>
      </c>
      <c r="K212">
        <v>60</v>
      </c>
      <c r="L212" s="4">
        <v>273976</v>
      </c>
    </row>
    <row r="213" spans="1:12" x14ac:dyDescent="0.25">
      <c r="A213">
        <v>212</v>
      </c>
      <c r="B213" s="3">
        <v>885055826</v>
      </c>
      <c r="C213" t="s">
        <v>288</v>
      </c>
      <c r="D213">
        <v>3</v>
      </c>
      <c r="E213" t="s">
        <v>45</v>
      </c>
      <c r="F213" s="1">
        <v>31487</v>
      </c>
      <c r="G213" t="s">
        <v>13</v>
      </c>
      <c r="H213" s="1">
        <v>43441</v>
      </c>
      <c r="I213">
        <v>1</v>
      </c>
      <c r="J213">
        <v>81</v>
      </c>
      <c r="K213">
        <v>60</v>
      </c>
      <c r="L213" s="4">
        <v>199755</v>
      </c>
    </row>
    <row r="214" spans="1:12" x14ac:dyDescent="0.25">
      <c r="A214">
        <v>213</v>
      </c>
      <c r="B214" s="3">
        <v>343861179</v>
      </c>
      <c r="C214" t="s">
        <v>289</v>
      </c>
      <c r="D214">
        <v>4</v>
      </c>
      <c r="E214" t="s">
        <v>46</v>
      </c>
      <c r="F214" s="1">
        <v>28096</v>
      </c>
      <c r="G214" t="s">
        <v>13</v>
      </c>
      <c r="H214" s="1">
        <v>43882</v>
      </c>
      <c r="I214">
        <v>0</v>
      </c>
      <c r="J214">
        <v>85</v>
      </c>
      <c r="K214">
        <v>62</v>
      </c>
      <c r="L214" s="4">
        <v>72722</v>
      </c>
    </row>
    <row r="215" spans="1:12" x14ac:dyDescent="0.25">
      <c r="A215">
        <v>214</v>
      </c>
      <c r="B215" s="3">
        <v>131471224</v>
      </c>
      <c r="C215" t="s">
        <v>290</v>
      </c>
      <c r="D215">
        <v>4</v>
      </c>
      <c r="E215" t="s">
        <v>46</v>
      </c>
      <c r="F215" s="1">
        <v>36245</v>
      </c>
      <c r="G215" t="s">
        <v>13</v>
      </c>
      <c r="H215" s="1">
        <v>43496</v>
      </c>
      <c r="I215">
        <v>0</v>
      </c>
      <c r="J215">
        <v>84</v>
      </c>
      <c r="K215">
        <v>62</v>
      </c>
      <c r="L215" s="4">
        <v>79214</v>
      </c>
    </row>
    <row r="216" spans="1:12" x14ac:dyDescent="0.25">
      <c r="A216">
        <v>215</v>
      </c>
      <c r="B216" s="3">
        <v>381772114</v>
      </c>
      <c r="C216" t="s">
        <v>291</v>
      </c>
      <c r="D216">
        <v>4</v>
      </c>
      <c r="E216" t="s">
        <v>46</v>
      </c>
      <c r="F216" s="1">
        <v>35182</v>
      </c>
      <c r="G216" t="s">
        <v>12</v>
      </c>
      <c r="H216" s="1">
        <v>43478</v>
      </c>
      <c r="I216">
        <v>0</v>
      </c>
      <c r="J216">
        <v>83</v>
      </c>
      <c r="K216">
        <v>61</v>
      </c>
      <c r="L216" s="4">
        <v>116871</v>
      </c>
    </row>
    <row r="217" spans="1:12" x14ac:dyDescent="0.25">
      <c r="A217">
        <v>216</v>
      </c>
      <c r="B217" s="3">
        <v>403414852</v>
      </c>
      <c r="C217" t="s">
        <v>292</v>
      </c>
      <c r="D217">
        <v>4</v>
      </c>
      <c r="E217" t="s">
        <v>46</v>
      </c>
      <c r="F217" s="1">
        <v>31475</v>
      </c>
      <c r="G217" t="s">
        <v>12</v>
      </c>
      <c r="H217" s="1">
        <v>43460</v>
      </c>
      <c r="I217">
        <v>0</v>
      </c>
      <c r="J217">
        <v>82</v>
      </c>
      <c r="K217">
        <v>61</v>
      </c>
      <c r="L217" s="4">
        <v>105745</v>
      </c>
    </row>
    <row r="218" spans="1:12" x14ac:dyDescent="0.25">
      <c r="A218">
        <v>217</v>
      </c>
      <c r="B218" s="3">
        <v>345106466</v>
      </c>
      <c r="C218" t="s">
        <v>293</v>
      </c>
      <c r="D218">
        <v>3</v>
      </c>
      <c r="E218" t="s">
        <v>47</v>
      </c>
      <c r="F218" s="1">
        <v>31439</v>
      </c>
      <c r="G218" t="s">
        <v>13</v>
      </c>
      <c r="H218" s="1">
        <v>43467</v>
      </c>
      <c r="I218">
        <v>0</v>
      </c>
      <c r="J218">
        <v>77</v>
      </c>
      <c r="K218">
        <v>58</v>
      </c>
      <c r="L218" s="4">
        <v>131463</v>
      </c>
    </row>
    <row r="219" spans="1:12" x14ac:dyDescent="0.25">
      <c r="A219">
        <v>218</v>
      </c>
      <c r="B219" s="3">
        <v>540688287</v>
      </c>
      <c r="C219" t="s">
        <v>294</v>
      </c>
      <c r="D219">
        <v>4</v>
      </c>
      <c r="E219" t="s">
        <v>48</v>
      </c>
      <c r="F219" s="1">
        <v>36641</v>
      </c>
      <c r="G219" t="s">
        <v>12</v>
      </c>
      <c r="H219" s="1">
        <v>43448</v>
      </c>
      <c r="I219">
        <v>0</v>
      </c>
      <c r="J219">
        <v>76</v>
      </c>
      <c r="K219">
        <v>58</v>
      </c>
      <c r="L219" s="4">
        <v>79434</v>
      </c>
    </row>
    <row r="220" spans="1:12" x14ac:dyDescent="0.25">
      <c r="A220">
        <v>219</v>
      </c>
      <c r="B220" s="3">
        <v>242381745</v>
      </c>
      <c r="C220" t="s">
        <v>295</v>
      </c>
      <c r="D220">
        <v>4</v>
      </c>
      <c r="E220" t="s">
        <v>49</v>
      </c>
      <c r="F220" s="1">
        <v>35498</v>
      </c>
      <c r="G220" t="s">
        <v>12</v>
      </c>
      <c r="H220" s="1">
        <v>43485</v>
      </c>
      <c r="I220">
        <v>0</v>
      </c>
      <c r="J220">
        <v>78</v>
      </c>
      <c r="K220">
        <v>59</v>
      </c>
      <c r="L220" s="4">
        <v>74718</v>
      </c>
    </row>
    <row r="221" spans="1:12" x14ac:dyDescent="0.25">
      <c r="A221">
        <v>220</v>
      </c>
      <c r="B221" s="3">
        <v>260770918</v>
      </c>
      <c r="C221" t="s">
        <v>296</v>
      </c>
      <c r="D221">
        <v>4</v>
      </c>
      <c r="E221" t="s">
        <v>49</v>
      </c>
      <c r="F221" s="1">
        <v>31403</v>
      </c>
      <c r="G221" t="s">
        <v>13</v>
      </c>
      <c r="H221" s="1">
        <v>43503</v>
      </c>
      <c r="I221">
        <v>0</v>
      </c>
      <c r="J221">
        <v>79</v>
      </c>
      <c r="K221">
        <v>59</v>
      </c>
      <c r="L221" s="4">
        <v>99867</v>
      </c>
    </row>
    <row r="222" spans="1:12" x14ac:dyDescent="0.25">
      <c r="A222">
        <v>221</v>
      </c>
      <c r="B222" s="3">
        <v>260805477</v>
      </c>
      <c r="C222" t="s">
        <v>297</v>
      </c>
      <c r="D222">
        <v>4</v>
      </c>
      <c r="E222" t="s">
        <v>48</v>
      </c>
      <c r="F222" s="1">
        <v>35573</v>
      </c>
      <c r="G222" t="s">
        <v>13</v>
      </c>
      <c r="H222" s="1">
        <v>43528</v>
      </c>
      <c r="I222">
        <v>0</v>
      </c>
      <c r="J222">
        <v>75</v>
      </c>
      <c r="K222">
        <v>57</v>
      </c>
      <c r="L222" s="4">
        <v>62152</v>
      </c>
    </row>
    <row r="223" spans="1:12" x14ac:dyDescent="0.25">
      <c r="A223">
        <v>222</v>
      </c>
      <c r="B223" s="3">
        <v>685233686</v>
      </c>
      <c r="C223" t="s">
        <v>298</v>
      </c>
      <c r="D223">
        <v>2</v>
      </c>
      <c r="E223" t="s">
        <v>50</v>
      </c>
      <c r="F223" s="1">
        <v>28748</v>
      </c>
      <c r="G223" t="s">
        <v>12</v>
      </c>
      <c r="H223" s="1">
        <v>43444</v>
      </c>
      <c r="I223">
        <v>0</v>
      </c>
      <c r="J223">
        <v>44</v>
      </c>
      <c r="K223">
        <v>42</v>
      </c>
      <c r="L223" s="4">
        <v>211500</v>
      </c>
    </row>
    <row r="224" spans="1:12" x14ac:dyDescent="0.25">
      <c r="A224">
        <v>223</v>
      </c>
      <c r="B224" s="3">
        <v>981495526</v>
      </c>
      <c r="C224" t="s">
        <v>299</v>
      </c>
      <c r="D224">
        <v>3</v>
      </c>
      <c r="E224" t="s">
        <v>51</v>
      </c>
      <c r="F224" s="1">
        <v>35783</v>
      </c>
      <c r="G224" t="s">
        <v>13</v>
      </c>
      <c r="H224" s="1">
        <v>43489</v>
      </c>
      <c r="I224">
        <v>0</v>
      </c>
      <c r="J224">
        <v>46</v>
      </c>
      <c r="K224">
        <v>43</v>
      </c>
      <c r="L224" s="4">
        <v>172984</v>
      </c>
    </row>
    <row r="225" spans="1:12" x14ac:dyDescent="0.25">
      <c r="A225">
        <v>224</v>
      </c>
      <c r="B225" s="3">
        <v>621209647</v>
      </c>
      <c r="C225" t="s">
        <v>300</v>
      </c>
      <c r="D225">
        <v>3</v>
      </c>
      <c r="E225" t="s">
        <v>51</v>
      </c>
      <c r="F225" s="1">
        <v>33546</v>
      </c>
      <c r="G225" t="s">
        <v>13</v>
      </c>
      <c r="H225" s="1">
        <v>43470</v>
      </c>
      <c r="I225">
        <v>0</v>
      </c>
      <c r="J225">
        <v>45</v>
      </c>
      <c r="K225">
        <v>42</v>
      </c>
      <c r="L225" s="4">
        <v>149480</v>
      </c>
    </row>
    <row r="226" spans="1:12" x14ac:dyDescent="0.25">
      <c r="A226">
        <v>225</v>
      </c>
      <c r="B226" s="3">
        <v>470689086</v>
      </c>
      <c r="C226" t="s">
        <v>301</v>
      </c>
      <c r="D226">
        <v>3</v>
      </c>
      <c r="E226" t="s">
        <v>51</v>
      </c>
      <c r="F226" s="1">
        <v>34420</v>
      </c>
      <c r="G226" t="s">
        <v>13</v>
      </c>
      <c r="H226" s="1">
        <v>43507</v>
      </c>
      <c r="I226">
        <v>0</v>
      </c>
      <c r="J226">
        <v>47</v>
      </c>
      <c r="K226">
        <v>43</v>
      </c>
      <c r="L226" s="4">
        <v>123853</v>
      </c>
    </row>
    <row r="227" spans="1:12" x14ac:dyDescent="0.25">
      <c r="A227">
        <v>226</v>
      </c>
      <c r="B227" s="3">
        <v>368691270</v>
      </c>
      <c r="C227" t="s">
        <v>302</v>
      </c>
      <c r="D227">
        <v>3</v>
      </c>
      <c r="E227" t="s">
        <v>51</v>
      </c>
      <c r="F227" s="1">
        <v>34555</v>
      </c>
      <c r="G227" t="s">
        <v>13</v>
      </c>
      <c r="H227" s="1">
        <v>43525</v>
      </c>
      <c r="I227">
        <v>0</v>
      </c>
      <c r="J227">
        <v>48</v>
      </c>
      <c r="K227">
        <v>44</v>
      </c>
      <c r="L227" s="4">
        <v>185111</v>
      </c>
    </row>
    <row r="228" spans="1:12" x14ac:dyDescent="0.25">
      <c r="A228">
        <v>227</v>
      </c>
      <c r="B228" s="3">
        <v>141165819</v>
      </c>
      <c r="C228" t="s">
        <v>303</v>
      </c>
      <c r="D228">
        <v>2</v>
      </c>
      <c r="E228" t="s">
        <v>52</v>
      </c>
      <c r="F228" s="1">
        <v>29632</v>
      </c>
      <c r="G228" t="s">
        <v>13</v>
      </c>
      <c r="H228" s="1">
        <v>43799</v>
      </c>
      <c r="I228">
        <v>1</v>
      </c>
      <c r="J228">
        <v>86</v>
      </c>
      <c r="K228">
        <v>63</v>
      </c>
      <c r="L228" s="4">
        <v>187304</v>
      </c>
    </row>
    <row r="229" spans="1:12" x14ac:dyDescent="0.25">
      <c r="A229">
        <v>228</v>
      </c>
      <c r="B229" s="3">
        <v>553069203</v>
      </c>
      <c r="C229" t="s">
        <v>304</v>
      </c>
      <c r="D229">
        <v>3</v>
      </c>
      <c r="E229" t="s">
        <v>53</v>
      </c>
      <c r="F229" s="1">
        <v>31427</v>
      </c>
      <c r="G229" t="s">
        <v>13</v>
      </c>
      <c r="H229" s="1">
        <v>43446</v>
      </c>
      <c r="I229">
        <v>1</v>
      </c>
      <c r="J229">
        <v>92</v>
      </c>
      <c r="K229">
        <v>66</v>
      </c>
      <c r="L229" s="4">
        <v>162440</v>
      </c>
    </row>
    <row r="230" spans="1:12" x14ac:dyDescent="0.25">
      <c r="A230">
        <v>229</v>
      </c>
      <c r="B230" s="3">
        <v>879334904</v>
      </c>
      <c r="C230" t="s">
        <v>305</v>
      </c>
      <c r="D230">
        <v>4</v>
      </c>
      <c r="E230" t="s">
        <v>54</v>
      </c>
      <c r="F230" s="1">
        <v>29430</v>
      </c>
      <c r="G230" t="s">
        <v>13</v>
      </c>
      <c r="H230" s="1">
        <v>43875</v>
      </c>
      <c r="I230">
        <v>0</v>
      </c>
      <c r="J230">
        <v>90</v>
      </c>
      <c r="K230">
        <v>65</v>
      </c>
      <c r="L230" s="4">
        <v>89379</v>
      </c>
    </row>
    <row r="231" spans="1:12" x14ac:dyDescent="0.25">
      <c r="A231">
        <v>230</v>
      </c>
      <c r="B231" s="3">
        <v>28414965</v>
      </c>
      <c r="C231" t="s">
        <v>306</v>
      </c>
      <c r="D231">
        <v>4</v>
      </c>
      <c r="E231" t="s">
        <v>54</v>
      </c>
      <c r="F231" s="1">
        <v>29934</v>
      </c>
      <c r="G231" t="s">
        <v>13</v>
      </c>
      <c r="H231" s="1">
        <v>43892</v>
      </c>
      <c r="I231">
        <v>0</v>
      </c>
      <c r="J231">
        <v>88</v>
      </c>
      <c r="K231">
        <v>64</v>
      </c>
      <c r="L231" s="4">
        <v>74431</v>
      </c>
    </row>
    <row r="232" spans="1:12" x14ac:dyDescent="0.25">
      <c r="A232">
        <v>231</v>
      </c>
      <c r="B232" s="3">
        <v>153479919</v>
      </c>
      <c r="C232" t="s">
        <v>307</v>
      </c>
      <c r="D232">
        <v>4</v>
      </c>
      <c r="E232" t="s">
        <v>54</v>
      </c>
      <c r="F232" s="1">
        <v>23488</v>
      </c>
      <c r="G232" t="s">
        <v>13</v>
      </c>
      <c r="H232" s="1">
        <v>43894</v>
      </c>
      <c r="I232">
        <v>0</v>
      </c>
      <c r="J232">
        <v>91</v>
      </c>
      <c r="K232">
        <v>65</v>
      </c>
      <c r="L232" s="4">
        <v>87996</v>
      </c>
    </row>
    <row r="233" spans="1:12" x14ac:dyDescent="0.25">
      <c r="A233">
        <v>232</v>
      </c>
      <c r="B233" s="3">
        <v>646304055</v>
      </c>
      <c r="C233" t="s">
        <v>308</v>
      </c>
      <c r="D233">
        <v>4</v>
      </c>
      <c r="E233" t="s">
        <v>54</v>
      </c>
      <c r="F233" s="1">
        <v>29555</v>
      </c>
      <c r="G233" t="s">
        <v>12</v>
      </c>
      <c r="H233" s="1">
        <v>43855</v>
      </c>
      <c r="I233">
        <v>0</v>
      </c>
      <c r="J233">
        <v>89</v>
      </c>
      <c r="K233">
        <v>64</v>
      </c>
      <c r="L233" s="4">
        <v>77718</v>
      </c>
    </row>
    <row r="234" spans="1:12" x14ac:dyDescent="0.25">
      <c r="A234">
        <v>233</v>
      </c>
      <c r="B234" s="3">
        <v>552560652</v>
      </c>
      <c r="C234" t="s">
        <v>309</v>
      </c>
      <c r="D234">
        <v>3</v>
      </c>
      <c r="E234" t="s">
        <v>55</v>
      </c>
      <c r="F234" s="1">
        <v>29822</v>
      </c>
      <c r="G234" t="s">
        <v>13</v>
      </c>
      <c r="H234" s="1">
        <v>43818</v>
      </c>
      <c r="I234">
        <v>0</v>
      </c>
      <c r="J234">
        <v>87</v>
      </c>
      <c r="K234">
        <v>63</v>
      </c>
      <c r="L234" s="4">
        <v>131284</v>
      </c>
    </row>
    <row r="235" spans="1:12" x14ac:dyDescent="0.25">
      <c r="A235">
        <v>234</v>
      </c>
      <c r="B235" s="3">
        <v>184188301</v>
      </c>
      <c r="C235" t="s">
        <v>310</v>
      </c>
      <c r="D235">
        <v>1</v>
      </c>
      <c r="E235" t="s">
        <v>56</v>
      </c>
      <c r="F235" s="1">
        <v>31415</v>
      </c>
      <c r="G235" t="s">
        <v>13</v>
      </c>
      <c r="H235" s="1">
        <v>43494</v>
      </c>
      <c r="I235">
        <v>1</v>
      </c>
      <c r="J235">
        <v>0</v>
      </c>
      <c r="K235">
        <v>20</v>
      </c>
      <c r="L235" s="4">
        <v>664737</v>
      </c>
    </row>
    <row r="236" spans="1:12" x14ac:dyDescent="0.25">
      <c r="A236">
        <v>235</v>
      </c>
      <c r="B236" s="3">
        <v>535145551</v>
      </c>
      <c r="C236" t="s">
        <v>311</v>
      </c>
      <c r="D236">
        <v>2</v>
      </c>
      <c r="E236" t="s">
        <v>57</v>
      </c>
      <c r="F236" s="1">
        <v>31451</v>
      </c>
      <c r="G236" t="s">
        <v>13</v>
      </c>
      <c r="H236" s="1">
        <v>43438</v>
      </c>
      <c r="I236">
        <v>1</v>
      </c>
      <c r="J236">
        <v>54</v>
      </c>
      <c r="K236">
        <v>47</v>
      </c>
      <c r="L236" s="4">
        <v>192646</v>
      </c>
    </row>
    <row r="237" spans="1:12" x14ac:dyDescent="0.25">
      <c r="A237">
        <v>236</v>
      </c>
      <c r="B237" s="3">
        <v>476980013</v>
      </c>
      <c r="C237" t="s">
        <v>312</v>
      </c>
      <c r="D237">
        <v>3</v>
      </c>
      <c r="E237" t="s">
        <v>58</v>
      </c>
      <c r="F237" s="1">
        <v>31516</v>
      </c>
      <c r="G237" t="s">
        <v>12</v>
      </c>
      <c r="H237" s="1">
        <v>43519</v>
      </c>
      <c r="I237">
        <v>0</v>
      </c>
      <c r="J237">
        <v>53</v>
      </c>
      <c r="K237">
        <v>46</v>
      </c>
      <c r="L237" s="4">
        <v>176222</v>
      </c>
    </row>
    <row r="238" spans="1:12" x14ac:dyDescent="0.25">
      <c r="A238">
        <v>237</v>
      </c>
      <c r="B238" s="3">
        <v>416679555</v>
      </c>
      <c r="C238" t="s">
        <v>313</v>
      </c>
      <c r="D238">
        <v>3</v>
      </c>
      <c r="E238" t="s">
        <v>58</v>
      </c>
      <c r="F238" s="1">
        <v>31882</v>
      </c>
      <c r="G238" t="s">
        <v>12</v>
      </c>
      <c r="H238" s="1">
        <v>43500</v>
      </c>
      <c r="I238">
        <v>0</v>
      </c>
      <c r="J238">
        <v>52</v>
      </c>
      <c r="K238">
        <v>46</v>
      </c>
      <c r="L238" s="4">
        <v>182098</v>
      </c>
    </row>
    <row r="239" spans="1:12" x14ac:dyDescent="0.25">
      <c r="A239">
        <v>238</v>
      </c>
      <c r="B239" s="3">
        <v>264306399</v>
      </c>
      <c r="C239" t="s">
        <v>314</v>
      </c>
      <c r="D239">
        <v>3</v>
      </c>
      <c r="E239" t="s">
        <v>59</v>
      </c>
      <c r="F239" s="1">
        <v>34545</v>
      </c>
      <c r="G239" t="s">
        <v>12</v>
      </c>
      <c r="H239" s="1">
        <v>43464</v>
      </c>
      <c r="I239">
        <v>0</v>
      </c>
      <c r="J239">
        <v>50</v>
      </c>
      <c r="K239">
        <v>45</v>
      </c>
      <c r="L239" s="4">
        <v>167122</v>
      </c>
    </row>
    <row r="240" spans="1:12" x14ac:dyDescent="0.25">
      <c r="A240">
        <v>239</v>
      </c>
      <c r="B240" s="3">
        <v>619308550</v>
      </c>
      <c r="C240" t="s">
        <v>315</v>
      </c>
      <c r="D240">
        <v>3</v>
      </c>
      <c r="E240" t="s">
        <v>60</v>
      </c>
      <c r="F240" s="1">
        <v>34656</v>
      </c>
      <c r="G240" t="s">
        <v>13</v>
      </c>
      <c r="H240" s="1">
        <v>43457</v>
      </c>
      <c r="I240">
        <v>0</v>
      </c>
      <c r="J240">
        <v>51</v>
      </c>
      <c r="K240">
        <v>45</v>
      </c>
      <c r="L240" s="4">
        <v>175012</v>
      </c>
    </row>
    <row r="241" spans="1:12" x14ac:dyDescent="0.25">
      <c r="A241">
        <v>240</v>
      </c>
      <c r="B241" s="3">
        <v>332040978</v>
      </c>
      <c r="C241" t="s">
        <v>316</v>
      </c>
      <c r="D241">
        <v>3</v>
      </c>
      <c r="E241" t="s">
        <v>59</v>
      </c>
      <c r="F241" s="1">
        <v>32339</v>
      </c>
      <c r="G241" t="s">
        <v>12</v>
      </c>
      <c r="H241" s="1">
        <v>43445</v>
      </c>
      <c r="I241">
        <v>0</v>
      </c>
      <c r="J241">
        <v>49</v>
      </c>
      <c r="K241">
        <v>44</v>
      </c>
      <c r="L241" s="4">
        <v>127684</v>
      </c>
    </row>
    <row r="242" spans="1:12" x14ac:dyDescent="0.25">
      <c r="A242">
        <v>241</v>
      </c>
      <c r="B242" s="3">
        <v>30845</v>
      </c>
      <c r="C242" t="s">
        <v>317</v>
      </c>
      <c r="D242">
        <v>2</v>
      </c>
      <c r="E242" t="s">
        <v>61</v>
      </c>
      <c r="F242" s="1">
        <v>34155</v>
      </c>
      <c r="G242" t="s">
        <v>13</v>
      </c>
      <c r="H242" s="1">
        <v>43493</v>
      </c>
      <c r="I242">
        <v>1</v>
      </c>
      <c r="J242">
        <v>57</v>
      </c>
      <c r="K242">
        <v>48</v>
      </c>
      <c r="L242" s="4">
        <v>226038</v>
      </c>
    </row>
    <row r="243" spans="1:12" x14ac:dyDescent="0.25">
      <c r="A243">
        <v>242</v>
      </c>
      <c r="B243" s="3">
        <v>363923697</v>
      </c>
      <c r="C243" t="s">
        <v>318</v>
      </c>
      <c r="D243">
        <v>3</v>
      </c>
      <c r="E243" t="s">
        <v>62</v>
      </c>
      <c r="F243" s="1">
        <v>31475</v>
      </c>
      <c r="G243" t="s">
        <v>13</v>
      </c>
      <c r="H243" s="1">
        <v>43450</v>
      </c>
      <c r="I243">
        <v>0</v>
      </c>
      <c r="J243">
        <v>60</v>
      </c>
      <c r="K243">
        <v>50</v>
      </c>
      <c r="L243" s="4">
        <v>130074</v>
      </c>
    </row>
    <row r="244" spans="1:12" x14ac:dyDescent="0.25">
      <c r="A244">
        <v>243</v>
      </c>
      <c r="B244" s="3">
        <v>60517918</v>
      </c>
      <c r="C244" t="s">
        <v>319</v>
      </c>
      <c r="D244">
        <v>3</v>
      </c>
      <c r="E244" t="s">
        <v>62</v>
      </c>
      <c r="F244" s="1">
        <v>31463</v>
      </c>
      <c r="G244" t="s">
        <v>12</v>
      </c>
      <c r="H244" s="1">
        <v>43469</v>
      </c>
      <c r="I244">
        <v>0</v>
      </c>
      <c r="J244">
        <v>61</v>
      </c>
      <c r="K244">
        <v>50</v>
      </c>
      <c r="L244" s="4">
        <v>103740</v>
      </c>
    </row>
    <row r="245" spans="1:12" x14ac:dyDescent="0.25">
      <c r="A245">
        <v>244</v>
      </c>
      <c r="B245" s="3">
        <v>931190412</v>
      </c>
      <c r="C245" t="s">
        <v>320</v>
      </c>
      <c r="D245">
        <v>3</v>
      </c>
      <c r="E245" t="s">
        <v>62</v>
      </c>
      <c r="F245" s="1">
        <v>34595</v>
      </c>
      <c r="G245" t="s">
        <v>12</v>
      </c>
      <c r="H245" s="1">
        <v>43487</v>
      </c>
      <c r="I245">
        <v>0</v>
      </c>
      <c r="J245">
        <v>62</v>
      </c>
      <c r="K245">
        <v>51</v>
      </c>
      <c r="L245" s="4">
        <v>117201</v>
      </c>
    </row>
    <row r="246" spans="1:12" x14ac:dyDescent="0.25">
      <c r="A246">
        <v>245</v>
      </c>
      <c r="B246" s="3">
        <v>363910111</v>
      </c>
      <c r="C246" t="s">
        <v>321</v>
      </c>
      <c r="D246">
        <v>3</v>
      </c>
      <c r="E246" t="s">
        <v>63</v>
      </c>
      <c r="F246" s="1">
        <v>31413</v>
      </c>
      <c r="G246" t="s">
        <v>13</v>
      </c>
      <c r="H246" s="1">
        <v>43512</v>
      </c>
      <c r="I246">
        <v>1</v>
      </c>
      <c r="J246">
        <v>58</v>
      </c>
      <c r="K246">
        <v>49</v>
      </c>
      <c r="L246" s="4">
        <v>110431</v>
      </c>
    </row>
    <row r="247" spans="1:12" x14ac:dyDescent="0.25">
      <c r="A247">
        <v>246</v>
      </c>
      <c r="B247" s="3">
        <v>663843431</v>
      </c>
      <c r="C247" t="s">
        <v>322</v>
      </c>
      <c r="D247">
        <v>3</v>
      </c>
      <c r="E247" t="s">
        <v>64</v>
      </c>
      <c r="F247" s="1">
        <v>31820</v>
      </c>
      <c r="G247" t="s">
        <v>13</v>
      </c>
      <c r="H247" s="1">
        <v>43505</v>
      </c>
      <c r="I247">
        <v>0</v>
      </c>
      <c r="J247">
        <v>63</v>
      </c>
      <c r="K247">
        <v>51</v>
      </c>
      <c r="L247" s="4">
        <v>179557</v>
      </c>
    </row>
    <row r="248" spans="1:12" x14ac:dyDescent="0.25">
      <c r="A248">
        <v>247</v>
      </c>
      <c r="B248" s="3">
        <v>519756660</v>
      </c>
      <c r="C248" t="s">
        <v>323</v>
      </c>
      <c r="D248">
        <v>3</v>
      </c>
      <c r="E248" t="s">
        <v>64</v>
      </c>
      <c r="F248" s="1">
        <v>32573</v>
      </c>
      <c r="G248" t="s">
        <v>13</v>
      </c>
      <c r="H248" s="1">
        <v>43523</v>
      </c>
      <c r="I248">
        <v>0</v>
      </c>
      <c r="J248">
        <v>64</v>
      </c>
      <c r="K248">
        <v>52</v>
      </c>
      <c r="L248" s="4">
        <v>107987</v>
      </c>
    </row>
    <row r="249" spans="1:12" x14ac:dyDescent="0.25">
      <c r="A249">
        <v>248</v>
      </c>
      <c r="B249" s="3">
        <v>480951955</v>
      </c>
      <c r="C249" t="s">
        <v>324</v>
      </c>
      <c r="D249">
        <v>3</v>
      </c>
      <c r="E249" t="s">
        <v>63</v>
      </c>
      <c r="F249" s="1">
        <v>32687</v>
      </c>
      <c r="G249" t="s">
        <v>12</v>
      </c>
      <c r="H249" s="1">
        <v>43530</v>
      </c>
      <c r="I249">
        <v>1</v>
      </c>
      <c r="J249">
        <v>59</v>
      </c>
      <c r="K249">
        <v>49</v>
      </c>
      <c r="L249" s="4">
        <v>172987</v>
      </c>
    </row>
    <row r="250" spans="1:12" x14ac:dyDescent="0.25">
      <c r="A250">
        <v>249</v>
      </c>
      <c r="B250" s="3">
        <v>121491555</v>
      </c>
      <c r="C250" t="s">
        <v>325</v>
      </c>
      <c r="D250">
        <v>2</v>
      </c>
      <c r="E250" t="s">
        <v>65</v>
      </c>
      <c r="F250" s="1">
        <v>34616</v>
      </c>
      <c r="G250" t="s">
        <v>12</v>
      </c>
      <c r="H250" s="1">
        <v>43457</v>
      </c>
      <c r="I250">
        <v>1</v>
      </c>
      <c r="J250">
        <v>55</v>
      </c>
      <c r="K250">
        <v>47</v>
      </c>
      <c r="L250" s="4">
        <v>185401</v>
      </c>
    </row>
    <row r="251" spans="1:12" x14ac:dyDescent="0.25">
      <c r="A251">
        <v>250</v>
      </c>
      <c r="B251" s="3">
        <v>895209680</v>
      </c>
      <c r="C251" t="s">
        <v>326</v>
      </c>
      <c r="D251">
        <v>3</v>
      </c>
      <c r="E251" t="s">
        <v>66</v>
      </c>
      <c r="F251" s="1">
        <v>32181</v>
      </c>
      <c r="G251" t="s">
        <v>12</v>
      </c>
      <c r="H251" s="1">
        <v>44249</v>
      </c>
      <c r="I251">
        <v>1</v>
      </c>
      <c r="J251">
        <v>49</v>
      </c>
      <c r="K251">
        <v>44</v>
      </c>
      <c r="L251" s="4">
        <v>137367</v>
      </c>
    </row>
    <row r="252" spans="1:12" x14ac:dyDescent="0.25">
      <c r="A252">
        <v>251</v>
      </c>
      <c r="B252" s="3">
        <v>603686790</v>
      </c>
      <c r="C252" t="s">
        <v>327</v>
      </c>
      <c r="D252">
        <v>4</v>
      </c>
      <c r="E252" t="s">
        <v>67</v>
      </c>
      <c r="F252" s="1">
        <v>34561</v>
      </c>
      <c r="G252" t="s">
        <v>12</v>
      </c>
      <c r="H252" s="1">
        <v>43504</v>
      </c>
      <c r="I252">
        <v>0</v>
      </c>
      <c r="J252">
        <v>59</v>
      </c>
      <c r="K252">
        <v>49</v>
      </c>
      <c r="L252" s="4">
        <v>87662</v>
      </c>
    </row>
    <row r="253" spans="1:12" x14ac:dyDescent="0.25">
      <c r="A253">
        <v>252</v>
      </c>
      <c r="B253" s="3">
        <v>792847334</v>
      </c>
      <c r="C253" t="s">
        <v>328</v>
      </c>
      <c r="D253">
        <v>4</v>
      </c>
      <c r="E253" t="s">
        <v>67</v>
      </c>
      <c r="F253" s="1">
        <v>30912</v>
      </c>
      <c r="G253" t="s">
        <v>13</v>
      </c>
      <c r="H253" s="1">
        <v>43522</v>
      </c>
      <c r="I253">
        <v>0</v>
      </c>
      <c r="J253">
        <v>60</v>
      </c>
      <c r="K253">
        <v>50</v>
      </c>
      <c r="L253" s="4">
        <v>105257</v>
      </c>
    </row>
    <row r="254" spans="1:12" x14ac:dyDescent="0.25">
      <c r="A254">
        <v>253</v>
      </c>
      <c r="B254" s="3">
        <v>407505660</v>
      </c>
      <c r="C254" t="s">
        <v>329</v>
      </c>
      <c r="D254">
        <v>4</v>
      </c>
      <c r="E254" t="s">
        <v>67</v>
      </c>
      <c r="F254" s="1">
        <v>29552</v>
      </c>
      <c r="G254" t="s">
        <v>13</v>
      </c>
      <c r="H254" s="1">
        <v>43814</v>
      </c>
      <c r="I254">
        <v>0</v>
      </c>
      <c r="J254">
        <v>56</v>
      </c>
      <c r="K254">
        <v>48</v>
      </c>
      <c r="L254" s="4">
        <v>83713</v>
      </c>
    </row>
    <row r="255" spans="1:12" x14ac:dyDescent="0.25">
      <c r="A255">
        <v>254</v>
      </c>
      <c r="B255" s="3">
        <v>482810518</v>
      </c>
      <c r="C255" t="s">
        <v>330</v>
      </c>
      <c r="D255">
        <v>4</v>
      </c>
      <c r="E255" t="s">
        <v>67</v>
      </c>
      <c r="F255" s="1">
        <v>29546</v>
      </c>
      <c r="G255" t="s">
        <v>13</v>
      </c>
      <c r="H255" s="1">
        <v>43832</v>
      </c>
      <c r="I255">
        <v>0</v>
      </c>
      <c r="J255">
        <v>57</v>
      </c>
      <c r="K255">
        <v>48</v>
      </c>
      <c r="L255" s="4">
        <v>66157</v>
      </c>
    </row>
    <row r="256" spans="1:12" x14ac:dyDescent="0.25">
      <c r="A256">
        <v>255</v>
      </c>
      <c r="B256" s="3">
        <v>466142721</v>
      </c>
      <c r="C256" t="s">
        <v>331</v>
      </c>
      <c r="D256">
        <v>4</v>
      </c>
      <c r="E256" t="s">
        <v>67</v>
      </c>
      <c r="F256" s="1">
        <v>28090</v>
      </c>
      <c r="G256" t="s">
        <v>13</v>
      </c>
      <c r="H256" s="1">
        <v>43839</v>
      </c>
      <c r="I256">
        <v>0</v>
      </c>
      <c r="J256">
        <v>52</v>
      </c>
      <c r="K256">
        <v>46</v>
      </c>
      <c r="L256" s="4">
        <v>72283</v>
      </c>
    </row>
    <row r="257" spans="1:12" x14ac:dyDescent="0.25">
      <c r="A257">
        <v>256</v>
      </c>
      <c r="B257" s="3">
        <v>367453993</v>
      </c>
      <c r="C257" t="s">
        <v>332</v>
      </c>
      <c r="D257">
        <v>4</v>
      </c>
      <c r="E257" t="s">
        <v>67</v>
      </c>
      <c r="F257" s="1">
        <v>22776</v>
      </c>
      <c r="G257" t="s">
        <v>13</v>
      </c>
      <c r="H257" s="1">
        <v>43851</v>
      </c>
      <c r="I257">
        <v>0</v>
      </c>
      <c r="J257">
        <v>58</v>
      </c>
      <c r="K257">
        <v>49</v>
      </c>
      <c r="L257" s="4">
        <v>96919</v>
      </c>
    </row>
    <row r="258" spans="1:12" x14ac:dyDescent="0.25">
      <c r="A258">
        <v>257</v>
      </c>
      <c r="B258" s="3">
        <v>381073001</v>
      </c>
      <c r="C258" t="s">
        <v>333</v>
      </c>
      <c r="D258">
        <v>4</v>
      </c>
      <c r="E258" t="s">
        <v>67</v>
      </c>
      <c r="F258" s="1">
        <v>30209</v>
      </c>
      <c r="G258" t="s">
        <v>12</v>
      </c>
      <c r="H258" s="1">
        <v>43855</v>
      </c>
      <c r="I258">
        <v>0</v>
      </c>
      <c r="J258">
        <v>54</v>
      </c>
      <c r="K258">
        <v>47</v>
      </c>
      <c r="L258" s="4">
        <v>62378</v>
      </c>
    </row>
    <row r="259" spans="1:12" x14ac:dyDescent="0.25">
      <c r="A259">
        <v>258</v>
      </c>
      <c r="B259" s="3">
        <v>785853949</v>
      </c>
      <c r="C259" t="s">
        <v>334</v>
      </c>
      <c r="D259">
        <v>4</v>
      </c>
      <c r="E259" t="s">
        <v>67</v>
      </c>
      <c r="F259" s="1">
        <v>29587</v>
      </c>
      <c r="G259" t="s">
        <v>12</v>
      </c>
      <c r="H259" s="1">
        <v>43859</v>
      </c>
      <c r="I259">
        <v>0</v>
      </c>
      <c r="J259">
        <v>53</v>
      </c>
      <c r="K259">
        <v>46</v>
      </c>
      <c r="L259" s="4">
        <v>114141</v>
      </c>
    </row>
    <row r="260" spans="1:12" x14ac:dyDescent="0.25">
      <c r="A260">
        <v>259</v>
      </c>
      <c r="B260" s="3">
        <v>20269531</v>
      </c>
      <c r="C260" t="s">
        <v>335</v>
      </c>
      <c r="D260">
        <v>4</v>
      </c>
      <c r="E260" t="s">
        <v>67</v>
      </c>
      <c r="F260" s="1">
        <v>30468</v>
      </c>
      <c r="G260" t="s">
        <v>13</v>
      </c>
      <c r="H260" s="1">
        <v>43896</v>
      </c>
      <c r="I260">
        <v>0</v>
      </c>
      <c r="J260">
        <v>55</v>
      </c>
      <c r="K260">
        <v>47</v>
      </c>
      <c r="L260" s="4">
        <v>100817</v>
      </c>
    </row>
    <row r="261" spans="1:12" x14ac:dyDescent="0.25">
      <c r="A261">
        <v>260</v>
      </c>
      <c r="B261" s="3">
        <v>437296311</v>
      </c>
      <c r="C261" t="s">
        <v>336</v>
      </c>
      <c r="D261">
        <v>4</v>
      </c>
      <c r="E261" t="s">
        <v>68</v>
      </c>
      <c r="F261" s="1">
        <v>32169</v>
      </c>
      <c r="G261" t="s">
        <v>13</v>
      </c>
      <c r="H261" s="1">
        <v>44168</v>
      </c>
      <c r="I261">
        <v>0</v>
      </c>
      <c r="J261">
        <v>50</v>
      </c>
      <c r="K261">
        <v>45</v>
      </c>
      <c r="L261" s="4">
        <v>88139</v>
      </c>
    </row>
    <row r="262" spans="1:12" x14ac:dyDescent="0.25">
      <c r="A262">
        <v>261</v>
      </c>
      <c r="B262" s="3">
        <v>280633567</v>
      </c>
      <c r="C262" t="s">
        <v>337</v>
      </c>
      <c r="D262">
        <v>4</v>
      </c>
      <c r="E262" t="s">
        <v>68</v>
      </c>
      <c r="F262" s="1">
        <v>32157</v>
      </c>
      <c r="G262" t="s">
        <v>13</v>
      </c>
      <c r="H262" s="1">
        <v>44187</v>
      </c>
      <c r="I262">
        <v>0</v>
      </c>
      <c r="J262">
        <v>51</v>
      </c>
      <c r="K262">
        <v>45</v>
      </c>
      <c r="L262" s="4">
        <v>90649</v>
      </c>
    </row>
    <row r="263" spans="1:12" x14ac:dyDescent="0.25">
      <c r="A263">
        <v>262</v>
      </c>
      <c r="B263" s="3">
        <v>231203233</v>
      </c>
      <c r="C263" t="s">
        <v>338</v>
      </c>
      <c r="D263">
        <v>2</v>
      </c>
      <c r="E263" t="s">
        <v>69</v>
      </c>
      <c r="F263" s="1">
        <v>27199</v>
      </c>
      <c r="G263" t="s">
        <v>12</v>
      </c>
      <c r="H263" s="1">
        <v>43475</v>
      </c>
      <c r="I263">
        <v>0</v>
      </c>
      <c r="J263">
        <v>56</v>
      </c>
      <c r="K263">
        <v>48</v>
      </c>
      <c r="L263" s="4">
        <v>196226</v>
      </c>
    </row>
    <row r="264" spans="1:12" x14ac:dyDescent="0.25">
      <c r="A264">
        <v>263</v>
      </c>
      <c r="B264" s="3">
        <v>441044382</v>
      </c>
      <c r="C264" t="s">
        <v>339</v>
      </c>
      <c r="D264">
        <v>1</v>
      </c>
      <c r="E264" t="s">
        <v>70</v>
      </c>
      <c r="F264" s="1">
        <v>31391</v>
      </c>
      <c r="G264" t="s">
        <v>12</v>
      </c>
      <c r="H264" s="1">
        <v>43443</v>
      </c>
      <c r="I264">
        <v>1</v>
      </c>
      <c r="J264">
        <v>65</v>
      </c>
      <c r="K264">
        <v>52</v>
      </c>
      <c r="L264" s="4">
        <v>878530</v>
      </c>
    </row>
    <row r="265" spans="1:12" x14ac:dyDescent="0.25">
      <c r="A265">
        <v>264</v>
      </c>
      <c r="B265" s="3">
        <v>858323870</v>
      </c>
      <c r="C265" t="s">
        <v>340</v>
      </c>
      <c r="D265">
        <v>2</v>
      </c>
      <c r="E265" t="s">
        <v>71</v>
      </c>
      <c r="F265" s="1">
        <v>34416</v>
      </c>
      <c r="G265" t="s">
        <v>12</v>
      </c>
      <c r="H265" s="1">
        <v>43498</v>
      </c>
      <c r="I265">
        <v>1</v>
      </c>
      <c r="J265">
        <v>68</v>
      </c>
      <c r="K265">
        <v>54</v>
      </c>
      <c r="L265" s="4">
        <v>296854</v>
      </c>
    </row>
    <row r="266" spans="1:12" x14ac:dyDescent="0.25">
      <c r="A266">
        <v>265</v>
      </c>
      <c r="B266" s="3">
        <v>749389530</v>
      </c>
      <c r="C266" t="s">
        <v>341</v>
      </c>
      <c r="D266">
        <v>3</v>
      </c>
      <c r="E266" t="s">
        <v>72</v>
      </c>
      <c r="F266" s="1">
        <v>31861</v>
      </c>
      <c r="G266" t="s">
        <v>12</v>
      </c>
      <c r="H266" s="1">
        <v>43436</v>
      </c>
      <c r="I266">
        <v>0</v>
      </c>
      <c r="J266">
        <v>70</v>
      </c>
      <c r="K266">
        <v>55</v>
      </c>
      <c r="L266" s="4">
        <v>163808</v>
      </c>
    </row>
    <row r="267" spans="1:12" x14ac:dyDescent="0.25">
      <c r="A267">
        <v>266</v>
      </c>
      <c r="B267" s="3">
        <v>672243793</v>
      </c>
      <c r="C267" t="s">
        <v>342</v>
      </c>
      <c r="D267">
        <v>3</v>
      </c>
      <c r="E267" t="s">
        <v>72</v>
      </c>
      <c r="F267" s="1">
        <v>33019</v>
      </c>
      <c r="G267" t="s">
        <v>12</v>
      </c>
      <c r="H267" s="1">
        <v>43517</v>
      </c>
      <c r="I267">
        <v>0</v>
      </c>
      <c r="J267">
        <v>69</v>
      </c>
      <c r="K267">
        <v>54</v>
      </c>
      <c r="L267" s="4">
        <v>136860</v>
      </c>
    </row>
    <row r="268" spans="1:12" x14ac:dyDescent="0.25">
      <c r="A268">
        <v>267</v>
      </c>
      <c r="B268" s="3">
        <v>58317344</v>
      </c>
      <c r="C268" t="s">
        <v>343</v>
      </c>
      <c r="D268">
        <v>2</v>
      </c>
      <c r="E268" t="s">
        <v>73</v>
      </c>
      <c r="F268" s="1">
        <v>32279</v>
      </c>
      <c r="G268" t="s">
        <v>12</v>
      </c>
      <c r="H268" s="1">
        <v>43510</v>
      </c>
      <c r="I268">
        <v>1</v>
      </c>
      <c r="J268">
        <v>74</v>
      </c>
      <c r="K268">
        <v>57</v>
      </c>
      <c r="L268" s="4">
        <v>275407</v>
      </c>
    </row>
    <row r="269" spans="1:12" x14ac:dyDescent="0.25">
      <c r="A269">
        <v>268</v>
      </c>
      <c r="B269" s="3">
        <v>314747499</v>
      </c>
      <c r="C269" t="s">
        <v>344</v>
      </c>
      <c r="D269">
        <v>2</v>
      </c>
      <c r="E269" t="s">
        <v>73</v>
      </c>
      <c r="F269" s="1">
        <v>35865</v>
      </c>
      <c r="G269" t="s">
        <v>12</v>
      </c>
      <c r="H269" s="1">
        <v>43497</v>
      </c>
      <c r="I269">
        <v>1</v>
      </c>
      <c r="J269">
        <v>73</v>
      </c>
      <c r="K269">
        <v>56</v>
      </c>
      <c r="L269" s="4">
        <v>207648</v>
      </c>
    </row>
    <row r="270" spans="1:12" x14ac:dyDescent="0.25">
      <c r="A270">
        <v>269</v>
      </c>
      <c r="B270" s="3">
        <v>671089628</v>
      </c>
      <c r="C270" t="s">
        <v>345</v>
      </c>
      <c r="D270">
        <v>2</v>
      </c>
      <c r="E270" t="s">
        <v>73</v>
      </c>
      <c r="F270" s="1">
        <v>35573</v>
      </c>
      <c r="G270" t="s">
        <v>13</v>
      </c>
      <c r="H270" s="1">
        <v>43474</v>
      </c>
      <c r="I270">
        <v>1</v>
      </c>
      <c r="J270">
        <v>72</v>
      </c>
      <c r="K270">
        <v>56</v>
      </c>
      <c r="L270" s="4">
        <v>188520</v>
      </c>
    </row>
    <row r="271" spans="1:12" x14ac:dyDescent="0.25">
      <c r="A271">
        <v>270</v>
      </c>
      <c r="B271" s="3">
        <v>643805155</v>
      </c>
      <c r="C271" t="s">
        <v>346</v>
      </c>
      <c r="D271">
        <v>2</v>
      </c>
      <c r="E271" t="s">
        <v>74</v>
      </c>
      <c r="F271" s="1">
        <v>31181</v>
      </c>
      <c r="G271" t="s">
        <v>12</v>
      </c>
      <c r="H271" s="1">
        <v>43480</v>
      </c>
      <c r="I271">
        <v>1</v>
      </c>
      <c r="J271">
        <v>67</v>
      </c>
      <c r="K271">
        <v>53</v>
      </c>
      <c r="L271" s="4">
        <v>261110</v>
      </c>
    </row>
    <row r="272" spans="1:12" x14ac:dyDescent="0.25">
      <c r="A272">
        <v>271</v>
      </c>
      <c r="B272" s="3">
        <v>929666391</v>
      </c>
      <c r="C272" t="s">
        <v>347</v>
      </c>
      <c r="D272">
        <v>2</v>
      </c>
      <c r="E272" t="s">
        <v>74</v>
      </c>
      <c r="F272" s="1">
        <v>31415</v>
      </c>
      <c r="G272" t="s">
        <v>13</v>
      </c>
      <c r="H272" s="1">
        <v>43485</v>
      </c>
      <c r="I272">
        <v>1</v>
      </c>
      <c r="J272">
        <v>66</v>
      </c>
      <c r="K272">
        <v>53</v>
      </c>
      <c r="L272" s="4">
        <v>218642</v>
      </c>
    </row>
    <row r="273" spans="1:12" x14ac:dyDescent="0.25">
      <c r="A273">
        <v>272</v>
      </c>
      <c r="B273" s="3">
        <v>525932996</v>
      </c>
      <c r="C273" t="s">
        <v>348</v>
      </c>
      <c r="D273">
        <v>2</v>
      </c>
      <c r="E273" t="s">
        <v>73</v>
      </c>
      <c r="F273" s="1">
        <v>34727</v>
      </c>
      <c r="G273" t="s">
        <v>13</v>
      </c>
      <c r="H273" s="1">
        <v>43455</v>
      </c>
      <c r="I273">
        <v>1</v>
      </c>
      <c r="J273">
        <v>71</v>
      </c>
      <c r="K273">
        <v>55</v>
      </c>
      <c r="L273" s="4">
        <v>260767</v>
      </c>
    </row>
    <row r="274" spans="1:12" x14ac:dyDescent="0.25">
      <c r="A274">
        <v>273</v>
      </c>
      <c r="B274" s="3">
        <v>112432117</v>
      </c>
      <c r="C274" t="s">
        <v>349</v>
      </c>
      <c r="D274">
        <v>1</v>
      </c>
      <c r="E274" t="s">
        <v>75</v>
      </c>
      <c r="F274" s="1">
        <v>31932</v>
      </c>
      <c r="G274" t="s">
        <v>12</v>
      </c>
      <c r="H274" s="1">
        <v>44239</v>
      </c>
      <c r="I274">
        <v>1</v>
      </c>
      <c r="J274">
        <v>10</v>
      </c>
      <c r="K274">
        <v>25</v>
      </c>
      <c r="L274" s="4">
        <v>865972</v>
      </c>
    </row>
    <row r="275" spans="1:12" x14ac:dyDescent="0.25">
      <c r="A275">
        <v>274</v>
      </c>
      <c r="B275" s="3">
        <v>502097814</v>
      </c>
      <c r="C275" t="s">
        <v>350</v>
      </c>
      <c r="D275">
        <v>2</v>
      </c>
      <c r="E275" t="s">
        <v>76</v>
      </c>
      <c r="F275" s="1">
        <v>22568</v>
      </c>
      <c r="G275" t="s">
        <v>13</v>
      </c>
      <c r="H275" s="1">
        <v>44197</v>
      </c>
      <c r="I275">
        <v>1</v>
      </c>
      <c r="J275">
        <v>14</v>
      </c>
      <c r="K275">
        <v>27</v>
      </c>
      <c r="L275" s="4">
        <v>238203</v>
      </c>
    </row>
    <row r="276" spans="1:12" x14ac:dyDescent="0.25">
      <c r="A276">
        <v>275</v>
      </c>
      <c r="B276" s="3">
        <v>841560125</v>
      </c>
      <c r="C276" t="s">
        <v>351</v>
      </c>
      <c r="D276">
        <v>3</v>
      </c>
      <c r="E276" t="s">
        <v>77</v>
      </c>
      <c r="F276" s="1">
        <v>28847</v>
      </c>
      <c r="G276" t="s">
        <v>12</v>
      </c>
      <c r="H276" s="1">
        <v>44344</v>
      </c>
      <c r="I276">
        <v>1</v>
      </c>
      <c r="J276">
        <v>38</v>
      </c>
      <c r="K276">
        <v>39</v>
      </c>
      <c r="L276" s="4">
        <v>109409</v>
      </c>
    </row>
    <row r="277" spans="1:12" x14ac:dyDescent="0.25">
      <c r="A277">
        <v>276</v>
      </c>
      <c r="B277" s="3">
        <v>191644724</v>
      </c>
      <c r="C277" t="s">
        <v>352</v>
      </c>
      <c r="D277">
        <v>3</v>
      </c>
      <c r="E277" t="s">
        <v>77</v>
      </c>
      <c r="F277" s="1">
        <v>32928</v>
      </c>
      <c r="G277" t="s">
        <v>13</v>
      </c>
      <c r="H277" s="1">
        <v>44344</v>
      </c>
      <c r="I277">
        <v>1</v>
      </c>
      <c r="J277">
        <v>27</v>
      </c>
      <c r="K277">
        <v>33</v>
      </c>
      <c r="L277" s="4">
        <v>179397</v>
      </c>
    </row>
    <row r="278" spans="1:12" x14ac:dyDescent="0.25">
      <c r="A278">
        <v>277</v>
      </c>
      <c r="B278" s="3">
        <v>615389812</v>
      </c>
      <c r="C278" t="s">
        <v>353</v>
      </c>
      <c r="D278">
        <v>3</v>
      </c>
      <c r="E278" t="s">
        <v>77</v>
      </c>
      <c r="F278" s="1">
        <v>26537</v>
      </c>
      <c r="G278" t="s">
        <v>12</v>
      </c>
      <c r="H278" s="1">
        <v>44344</v>
      </c>
      <c r="I278">
        <v>1</v>
      </c>
      <c r="J278">
        <v>24</v>
      </c>
      <c r="K278">
        <v>32</v>
      </c>
      <c r="L278" s="4">
        <v>157183</v>
      </c>
    </row>
    <row r="279" spans="1:12" x14ac:dyDescent="0.25">
      <c r="A279">
        <v>278</v>
      </c>
      <c r="B279" s="3">
        <v>234474252</v>
      </c>
      <c r="C279" t="s">
        <v>354</v>
      </c>
      <c r="D279">
        <v>3</v>
      </c>
      <c r="E279" t="s">
        <v>77</v>
      </c>
      <c r="F279" s="1">
        <v>31079</v>
      </c>
      <c r="G279" t="s">
        <v>13</v>
      </c>
      <c r="H279" s="1">
        <v>44344</v>
      </c>
      <c r="I279">
        <v>1</v>
      </c>
      <c r="J279">
        <v>33</v>
      </c>
      <c r="K279">
        <v>36</v>
      </c>
      <c r="L279" s="4">
        <v>173301</v>
      </c>
    </row>
    <row r="280" spans="1:12" x14ac:dyDescent="0.25">
      <c r="A280">
        <v>279</v>
      </c>
      <c r="B280" s="3">
        <v>716374314</v>
      </c>
      <c r="C280" t="s">
        <v>355</v>
      </c>
      <c r="D280">
        <v>3</v>
      </c>
      <c r="E280" t="s">
        <v>77</v>
      </c>
      <c r="F280" s="1">
        <v>30697</v>
      </c>
      <c r="G280" t="s">
        <v>13</v>
      </c>
      <c r="H280" s="1">
        <v>44344</v>
      </c>
      <c r="I280">
        <v>1</v>
      </c>
      <c r="J280">
        <v>29</v>
      </c>
      <c r="K280">
        <v>34</v>
      </c>
      <c r="L280" s="4">
        <v>196573</v>
      </c>
    </row>
    <row r="281" spans="1:12" x14ac:dyDescent="0.25">
      <c r="A281">
        <v>280</v>
      </c>
      <c r="B281" s="3">
        <v>61161660</v>
      </c>
      <c r="C281" t="s">
        <v>356</v>
      </c>
      <c r="D281">
        <v>3</v>
      </c>
      <c r="E281" t="s">
        <v>77</v>
      </c>
      <c r="F281" s="1">
        <v>31019</v>
      </c>
      <c r="G281" t="s">
        <v>12</v>
      </c>
      <c r="H281" s="1">
        <v>44344</v>
      </c>
      <c r="I281">
        <v>1</v>
      </c>
      <c r="J281">
        <v>22</v>
      </c>
      <c r="K281">
        <v>31</v>
      </c>
      <c r="L281" s="4">
        <v>168620</v>
      </c>
    </row>
    <row r="282" spans="1:12" x14ac:dyDescent="0.25">
      <c r="A282">
        <v>281</v>
      </c>
      <c r="B282" s="3">
        <v>139397894</v>
      </c>
      <c r="C282" t="s">
        <v>357</v>
      </c>
      <c r="D282">
        <v>3</v>
      </c>
      <c r="E282" t="s">
        <v>77</v>
      </c>
      <c r="F282" s="1">
        <v>28556</v>
      </c>
      <c r="G282" t="s">
        <v>13</v>
      </c>
      <c r="H282" s="1">
        <v>44344</v>
      </c>
      <c r="I282">
        <v>1</v>
      </c>
      <c r="J282">
        <v>26</v>
      </c>
      <c r="K282">
        <v>33</v>
      </c>
      <c r="L282" s="4">
        <v>114765</v>
      </c>
    </row>
    <row r="283" spans="1:12" x14ac:dyDescent="0.25">
      <c r="A283">
        <v>282</v>
      </c>
      <c r="B283" s="3">
        <v>399771412</v>
      </c>
      <c r="C283" t="s">
        <v>358</v>
      </c>
      <c r="D283">
        <v>3</v>
      </c>
      <c r="E283" t="s">
        <v>77</v>
      </c>
      <c r="F283" s="1">
        <v>27006</v>
      </c>
      <c r="G283" t="s">
        <v>13</v>
      </c>
      <c r="H283" s="1">
        <v>44344</v>
      </c>
      <c r="I283">
        <v>1</v>
      </c>
      <c r="J283">
        <v>31</v>
      </c>
      <c r="K283">
        <v>35</v>
      </c>
      <c r="L283" s="4">
        <v>141605</v>
      </c>
    </row>
    <row r="284" spans="1:12" x14ac:dyDescent="0.25">
      <c r="A284">
        <v>283</v>
      </c>
      <c r="B284" s="3">
        <v>987554265</v>
      </c>
      <c r="C284" t="s">
        <v>359</v>
      </c>
      <c r="D284">
        <v>3</v>
      </c>
      <c r="E284" t="s">
        <v>77</v>
      </c>
      <c r="F284" s="1">
        <v>30721</v>
      </c>
      <c r="G284" t="s">
        <v>12</v>
      </c>
      <c r="H284" s="1">
        <v>44344</v>
      </c>
      <c r="I284">
        <v>1</v>
      </c>
      <c r="J284">
        <v>23</v>
      </c>
      <c r="K284">
        <v>31</v>
      </c>
      <c r="L284" s="4">
        <v>123252</v>
      </c>
    </row>
    <row r="285" spans="1:12" x14ac:dyDescent="0.25">
      <c r="A285">
        <v>284</v>
      </c>
      <c r="B285" s="3">
        <v>90836195</v>
      </c>
      <c r="C285" t="s">
        <v>360</v>
      </c>
      <c r="D285">
        <v>3</v>
      </c>
      <c r="E285" t="s">
        <v>77</v>
      </c>
      <c r="F285" s="1">
        <v>32145</v>
      </c>
      <c r="G285" t="s">
        <v>13</v>
      </c>
      <c r="H285" s="1">
        <v>44832</v>
      </c>
      <c r="I285">
        <v>1</v>
      </c>
      <c r="J285">
        <v>39</v>
      </c>
      <c r="K285">
        <v>39</v>
      </c>
      <c r="L285" s="4">
        <v>117875</v>
      </c>
    </row>
    <row r="286" spans="1:12" x14ac:dyDescent="0.25">
      <c r="A286">
        <v>285</v>
      </c>
      <c r="B286" s="3">
        <v>481044938</v>
      </c>
      <c r="C286" t="s">
        <v>361</v>
      </c>
      <c r="D286">
        <v>2</v>
      </c>
      <c r="E286" t="s">
        <v>78</v>
      </c>
      <c r="F286" s="1">
        <v>31055</v>
      </c>
      <c r="G286" t="s">
        <v>13</v>
      </c>
      <c r="H286" s="1">
        <v>44997</v>
      </c>
      <c r="I286">
        <v>1</v>
      </c>
      <c r="J286">
        <v>20</v>
      </c>
      <c r="K286">
        <v>30</v>
      </c>
      <c r="L286" s="4">
        <v>180782</v>
      </c>
    </row>
    <row r="287" spans="1:12" x14ac:dyDescent="0.25">
      <c r="A287">
        <v>286</v>
      </c>
      <c r="B287" s="3">
        <v>758596752</v>
      </c>
      <c r="C287" t="s">
        <v>362</v>
      </c>
      <c r="D287">
        <v>3</v>
      </c>
      <c r="E287" t="s">
        <v>77</v>
      </c>
      <c r="F287" s="1">
        <v>31820</v>
      </c>
      <c r="G287" t="s">
        <v>12</v>
      </c>
      <c r="H287" s="1">
        <v>45074</v>
      </c>
      <c r="I287">
        <v>1</v>
      </c>
      <c r="J287">
        <v>36</v>
      </c>
      <c r="K287">
        <v>38</v>
      </c>
      <c r="L287" s="4">
        <v>134954</v>
      </c>
    </row>
    <row r="288" spans="1:12" x14ac:dyDescent="0.25">
      <c r="A288">
        <v>287</v>
      </c>
      <c r="B288" s="3">
        <v>982310417</v>
      </c>
      <c r="C288" t="s">
        <v>363</v>
      </c>
      <c r="D288">
        <v>2</v>
      </c>
      <c r="E288" t="s">
        <v>79</v>
      </c>
      <c r="F288" s="1">
        <v>24733</v>
      </c>
      <c r="G288" t="s">
        <v>13</v>
      </c>
      <c r="H288" s="1">
        <v>44665</v>
      </c>
      <c r="I288">
        <v>1</v>
      </c>
      <c r="J288">
        <v>21</v>
      </c>
      <c r="K288">
        <v>30</v>
      </c>
      <c r="L288" s="4">
        <v>279980</v>
      </c>
    </row>
    <row r="289" spans="1:12" x14ac:dyDescent="0.25">
      <c r="A289">
        <v>288</v>
      </c>
      <c r="B289" s="3">
        <v>954276278</v>
      </c>
      <c r="C289" t="s">
        <v>364</v>
      </c>
      <c r="D289">
        <v>3</v>
      </c>
      <c r="E289" t="s">
        <v>77</v>
      </c>
      <c r="F289" s="1">
        <v>31234</v>
      </c>
      <c r="G289" t="s">
        <v>12</v>
      </c>
      <c r="H289" s="1">
        <v>45074</v>
      </c>
      <c r="I289">
        <v>1</v>
      </c>
      <c r="J289">
        <v>35</v>
      </c>
      <c r="K289">
        <v>37</v>
      </c>
      <c r="L289" s="4">
        <v>158202</v>
      </c>
    </row>
    <row r="290" spans="1:12" x14ac:dyDescent="0.25">
      <c r="A290">
        <v>289</v>
      </c>
      <c r="B290" s="3">
        <v>668991357</v>
      </c>
      <c r="C290" t="s">
        <v>365</v>
      </c>
      <c r="D290">
        <v>3</v>
      </c>
      <c r="E290" t="s">
        <v>77</v>
      </c>
      <c r="F290" s="1">
        <v>28564</v>
      </c>
      <c r="G290" t="s">
        <v>13</v>
      </c>
      <c r="H290" s="1">
        <v>44709</v>
      </c>
      <c r="I290">
        <v>1</v>
      </c>
      <c r="J290">
        <v>37</v>
      </c>
      <c r="K290">
        <v>38</v>
      </c>
      <c r="L290" s="4">
        <v>104772</v>
      </c>
    </row>
    <row r="291" spans="1:12" x14ac:dyDescent="0.25">
      <c r="A291">
        <v>290</v>
      </c>
      <c r="B291" s="3">
        <v>134219713</v>
      </c>
      <c r="C291" t="s">
        <v>366</v>
      </c>
      <c r="D291">
        <v>3</v>
      </c>
      <c r="E291" t="s">
        <v>77</v>
      </c>
      <c r="F291" s="1">
        <v>31317</v>
      </c>
      <c r="G291" t="s">
        <v>12</v>
      </c>
      <c r="H291" s="1">
        <v>44709</v>
      </c>
      <c r="I291">
        <v>1</v>
      </c>
      <c r="J291">
        <v>34</v>
      </c>
      <c r="K291">
        <v>37</v>
      </c>
      <c r="L291" s="4">
        <v>128763</v>
      </c>
    </row>
    <row r="292" spans="1:12" x14ac:dyDescent="0.25">
      <c r="A292">
        <v>291</v>
      </c>
      <c r="B292" s="3">
        <v>712885347</v>
      </c>
      <c r="C292" t="s">
        <v>238</v>
      </c>
      <c r="D292">
        <v>3</v>
      </c>
      <c r="E292" t="s">
        <v>42</v>
      </c>
      <c r="F292" s="1">
        <v>31790</v>
      </c>
      <c r="G292" t="s">
        <v>13</v>
      </c>
      <c r="H292" s="1">
        <v>43484</v>
      </c>
      <c r="I292">
        <v>0</v>
      </c>
      <c r="J292">
        <v>74</v>
      </c>
      <c r="K292">
        <v>57</v>
      </c>
      <c r="L292" s="4">
        <v>156035</v>
      </c>
    </row>
  </sheetData>
  <autoFilter ref="A1:L292" xr:uid="{BF027A3B-C2C7-41CB-9328-48DCAF0D3E8C}"/>
  <sortState xmlns:xlrd2="http://schemas.microsoft.com/office/spreadsheetml/2017/richdata2" ref="A2:L12">
    <sortCondition descending="1" ref="J2:J12"/>
  </sortState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22F46-18DF-4FFC-B475-20AEC0F8F083}">
  <dimension ref="A1:G9"/>
  <sheetViews>
    <sheetView workbookViewId="0">
      <selection activeCell="A11" sqref="A11"/>
    </sheetView>
  </sheetViews>
  <sheetFormatPr defaultRowHeight="15" x14ac:dyDescent="0.25"/>
  <cols>
    <col min="1" max="1" width="17.28515625" style="16" bestFit="1" customWidth="1"/>
    <col min="2" max="2" width="20.28515625" bestFit="1" customWidth="1"/>
    <col min="3" max="3" width="21" bestFit="1" customWidth="1"/>
    <col min="4" max="5" width="14.42578125" customWidth="1"/>
    <col min="6" max="6" width="10.42578125" style="16" bestFit="1" customWidth="1"/>
    <col min="7" max="7" width="14.42578125" customWidth="1"/>
  </cols>
  <sheetData>
    <row r="1" spans="1:7" x14ac:dyDescent="0.25">
      <c r="A1" s="18" t="s">
        <v>3</v>
      </c>
    </row>
    <row r="3" spans="1:7" x14ac:dyDescent="0.25">
      <c r="A3" s="17" t="s">
        <v>3</v>
      </c>
      <c r="B3" s="11" t="s">
        <v>390</v>
      </c>
      <c r="C3" s="17" t="s">
        <v>389</v>
      </c>
      <c r="D3" s="25" t="s">
        <v>407</v>
      </c>
      <c r="E3" s="25" t="s">
        <v>410</v>
      </c>
      <c r="F3" s="17" t="s">
        <v>408</v>
      </c>
      <c r="G3" s="25" t="s">
        <v>409</v>
      </c>
    </row>
    <row r="4" spans="1:7" x14ac:dyDescent="0.25">
      <c r="A4" s="17">
        <v>0</v>
      </c>
      <c r="B4" s="11" t="s">
        <v>391</v>
      </c>
      <c r="C4" s="17">
        <f>COUNTIFS(Employees!D$2:D$292,$A4)</f>
        <v>1</v>
      </c>
      <c r="D4" s="25">
        <f>SUMIFS(Employees!$L$2:$L$292,Employees!D$2:D$292,$A4)</f>
        <v>1500000</v>
      </c>
      <c r="E4" s="25">
        <f>D4/C4</f>
        <v>1500000</v>
      </c>
      <c r="F4" s="27">
        <v>0.05</v>
      </c>
      <c r="G4" s="25">
        <f>D4*(1+F4)</f>
        <v>1575000</v>
      </c>
    </row>
    <row r="5" spans="1:7" x14ac:dyDescent="0.25">
      <c r="A5" s="17">
        <v>1</v>
      </c>
      <c r="B5" s="11" t="s">
        <v>391</v>
      </c>
      <c r="C5" s="17">
        <f>COUNTIFS(Employees!D$2:D$292,$A5)</f>
        <v>6</v>
      </c>
      <c r="D5" s="25">
        <f>SUMIFS(Employees!$L$2:$L$292,Employees!D$2:D$292,$A5)</f>
        <v>4042296</v>
      </c>
      <c r="E5" s="25">
        <f t="shared" ref="E5:E8" si="0">D5/C5</f>
        <v>673716</v>
      </c>
      <c r="F5" s="27">
        <f>F4+1%</f>
        <v>6.0000000000000005E-2</v>
      </c>
      <c r="G5" s="25">
        <f t="shared" ref="G5:G8" si="1">D5*(1+F5)</f>
        <v>4284833.76</v>
      </c>
    </row>
    <row r="6" spans="1:7" x14ac:dyDescent="0.25">
      <c r="A6" s="17">
        <v>2</v>
      </c>
      <c r="B6" s="11" t="s">
        <v>392</v>
      </c>
      <c r="C6" s="17">
        <f>COUNTIFS(Employees!D$2:D$292,$A6)</f>
        <v>27</v>
      </c>
      <c r="D6" s="25">
        <f>SUMIFS(Employees!$L$2:$L$292,Employees!D$2:D$292,$A6)</f>
        <v>6151709</v>
      </c>
      <c r="E6" s="25">
        <f t="shared" si="0"/>
        <v>227841.07407407407</v>
      </c>
      <c r="F6" s="27">
        <f t="shared" ref="F6:F8" si="2">F5+1%</f>
        <v>7.0000000000000007E-2</v>
      </c>
      <c r="G6" s="25">
        <f t="shared" si="1"/>
        <v>6582328.6300000008</v>
      </c>
    </row>
    <row r="7" spans="1:7" x14ac:dyDescent="0.25">
      <c r="A7" s="17">
        <v>3</v>
      </c>
      <c r="B7" s="11" t="s">
        <v>393</v>
      </c>
      <c r="C7" s="17">
        <f>COUNTIFS(Employees!D$2:D$292,$A7)</f>
        <v>67</v>
      </c>
      <c r="D7" s="25">
        <f>SUMIFS(Employees!$L$2:$L$292,Employees!D$2:D$292,$A7)</f>
        <v>10130857</v>
      </c>
      <c r="E7" s="25">
        <f t="shared" si="0"/>
        <v>151206.8208955224</v>
      </c>
      <c r="F7" s="27">
        <f t="shared" si="2"/>
        <v>0.08</v>
      </c>
      <c r="G7" s="25">
        <f t="shared" si="1"/>
        <v>10941325.560000001</v>
      </c>
    </row>
    <row r="8" spans="1:7" x14ac:dyDescent="0.25">
      <c r="A8" s="17">
        <v>4</v>
      </c>
      <c r="B8" s="11" t="s">
        <v>394</v>
      </c>
      <c r="C8" s="17">
        <f>COUNTIFS(Employees!D$2:D$292,$A8)</f>
        <v>190</v>
      </c>
      <c r="D8" s="25">
        <f>SUMIFS(Employees!$L$2:$L$292,Employees!D$2:D$292,$A8)</f>
        <v>16572702</v>
      </c>
      <c r="E8" s="25">
        <f t="shared" si="0"/>
        <v>87224.747368421056</v>
      </c>
      <c r="F8" s="27">
        <f t="shared" si="2"/>
        <v>0.09</v>
      </c>
      <c r="G8" s="25">
        <f t="shared" si="1"/>
        <v>18064245.18</v>
      </c>
    </row>
    <row r="9" spans="1:7" x14ac:dyDescent="0.25">
      <c r="A9" s="17" t="s">
        <v>382</v>
      </c>
      <c r="B9" s="11"/>
      <c r="C9" s="20">
        <v>291</v>
      </c>
      <c r="D9" s="26">
        <f>SUM(D4:D8)</f>
        <v>38397564</v>
      </c>
      <c r="E9" s="28"/>
      <c r="G9" s="26">
        <f>SUM(G4:G8)</f>
        <v>41447733.130000003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8C74-5FB7-41D1-8EA2-9F0F9626989A}">
  <dimension ref="A1:L1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8.140625" bestFit="1" customWidth="1"/>
    <col min="2" max="2" width="20.28515625" style="3" bestFit="1" customWidth="1"/>
    <col min="3" max="3" width="12.140625" bestFit="1" customWidth="1"/>
    <col min="4" max="4" width="19.5703125" bestFit="1" customWidth="1"/>
    <col min="5" max="5" width="39.7109375" bestFit="1" customWidth="1"/>
    <col min="6" max="6" width="11.7109375" style="1" bestFit="1" customWidth="1"/>
    <col min="7" max="7" width="15" bestFit="1" customWidth="1"/>
    <col min="8" max="8" width="11.140625" style="1" bestFit="1" customWidth="1"/>
    <col min="9" max="9" width="14" bestFit="1" customWidth="1"/>
    <col min="10" max="10" width="16.28515625" bestFit="1" customWidth="1"/>
    <col min="11" max="11" width="17.140625" bestFit="1" customWidth="1"/>
    <col min="12" max="12" width="14.28515625" style="4" bestFit="1" customWidth="1"/>
  </cols>
  <sheetData>
    <row r="1" spans="1:12" x14ac:dyDescent="0.25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s="4" t="s">
        <v>370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C74BA-8BB6-4BFF-9208-4E9B0DD21271}">
  <dimension ref="A1:E12"/>
  <sheetViews>
    <sheetView workbookViewId="0">
      <selection activeCell="B5" sqref="B5"/>
    </sheetView>
  </sheetViews>
  <sheetFormatPr defaultRowHeight="15" x14ac:dyDescent="0.25"/>
  <cols>
    <col min="1" max="1" width="15.140625" bestFit="1" customWidth="1"/>
    <col min="2" max="2" width="29.28515625" style="23" bestFit="1" customWidth="1"/>
    <col min="5" max="5" width="29.28515625" bestFit="1" customWidth="1"/>
  </cols>
  <sheetData>
    <row r="1" spans="1:5" x14ac:dyDescent="0.25">
      <c r="A1" s="10" t="s">
        <v>402</v>
      </c>
      <c r="E1" s="10" t="s">
        <v>405</v>
      </c>
    </row>
    <row r="3" spans="1:5" x14ac:dyDescent="0.25">
      <c r="A3" t="s">
        <v>403</v>
      </c>
      <c r="B3" s="24">
        <v>46266</v>
      </c>
      <c r="E3" s="24">
        <v>46270</v>
      </c>
    </row>
    <row r="4" spans="1:5" x14ac:dyDescent="0.25">
      <c r="A4" t="s">
        <v>406</v>
      </c>
      <c r="B4" s="16">
        <v>15</v>
      </c>
      <c r="E4" s="24">
        <v>46271</v>
      </c>
    </row>
    <row r="5" spans="1:5" x14ac:dyDescent="0.25">
      <c r="A5" t="s">
        <v>404</v>
      </c>
      <c r="B5" s="24"/>
      <c r="E5" s="24">
        <v>46272</v>
      </c>
    </row>
    <row r="6" spans="1:5" x14ac:dyDescent="0.25">
      <c r="E6" s="24">
        <v>46273</v>
      </c>
    </row>
    <row r="7" spans="1:5" x14ac:dyDescent="0.25">
      <c r="E7" s="24">
        <v>46274</v>
      </c>
    </row>
    <row r="8" spans="1:5" x14ac:dyDescent="0.25">
      <c r="E8" s="24">
        <v>46275</v>
      </c>
    </row>
    <row r="9" spans="1:5" x14ac:dyDescent="0.25">
      <c r="E9" s="24">
        <v>46276</v>
      </c>
    </row>
    <row r="10" spans="1:5" x14ac:dyDescent="0.25">
      <c r="E10" s="24">
        <v>46277</v>
      </c>
    </row>
    <row r="11" spans="1:5" x14ac:dyDescent="0.25">
      <c r="E11" s="24">
        <v>46278</v>
      </c>
    </row>
    <row r="12" spans="1:5" x14ac:dyDescent="0.25">
      <c r="E12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9FD5E-EEAF-469C-9923-B6690B1C3746}">
  <dimension ref="A1:B7"/>
  <sheetViews>
    <sheetView workbookViewId="0">
      <selection activeCell="B4" sqref="B4"/>
    </sheetView>
  </sheetViews>
  <sheetFormatPr defaultRowHeight="15" x14ac:dyDescent="0.25"/>
  <cols>
    <col min="1" max="1" width="20.28515625" style="16" bestFit="1" customWidth="1"/>
    <col min="2" max="2" width="42.7109375" bestFit="1" customWidth="1"/>
  </cols>
  <sheetData>
    <row r="1" spans="1:2" x14ac:dyDescent="0.25">
      <c r="A1" s="19" t="s">
        <v>400</v>
      </c>
    </row>
    <row r="3" spans="1:2" x14ac:dyDescent="0.25">
      <c r="A3" s="22" t="s">
        <v>395</v>
      </c>
      <c r="B3" s="11" t="s">
        <v>401</v>
      </c>
    </row>
    <row r="4" spans="1:2" x14ac:dyDescent="0.25">
      <c r="A4" s="22">
        <v>42370</v>
      </c>
      <c r="B4" s="11" t="s">
        <v>399</v>
      </c>
    </row>
    <row r="5" spans="1:2" x14ac:dyDescent="0.25">
      <c r="A5" s="22">
        <v>43101</v>
      </c>
      <c r="B5" s="11" t="s">
        <v>398</v>
      </c>
    </row>
    <row r="6" spans="1:2" x14ac:dyDescent="0.25">
      <c r="A6" s="22">
        <v>43831</v>
      </c>
      <c r="B6" s="11" t="s">
        <v>397</v>
      </c>
    </row>
    <row r="7" spans="1:2" x14ac:dyDescent="0.25">
      <c r="A7" s="22">
        <v>44562</v>
      </c>
      <c r="B7" s="11" t="s">
        <v>396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D716E-9132-41AE-8AE9-B8AC98C24DCE}">
  <dimension ref="A1:D13"/>
  <sheetViews>
    <sheetView workbookViewId="0">
      <selection activeCell="D6" sqref="D6"/>
    </sheetView>
  </sheetViews>
  <sheetFormatPr defaultRowHeight="15" x14ac:dyDescent="0.25"/>
  <cols>
    <col min="1" max="1" width="11.140625" bestFit="1" customWidth="1"/>
    <col min="2" max="2" width="8.7109375" bestFit="1" customWidth="1"/>
    <col min="3" max="3" width="10.28515625" bestFit="1" customWidth="1"/>
    <col min="4" max="4" width="17.28515625" style="4" bestFit="1" customWidth="1"/>
  </cols>
  <sheetData>
    <row r="1" spans="1:4" x14ac:dyDescent="0.25">
      <c r="A1" s="10" t="s">
        <v>384</v>
      </c>
    </row>
    <row r="3" spans="1:4" x14ac:dyDescent="0.25">
      <c r="A3" s="11" t="s">
        <v>385</v>
      </c>
      <c r="B3" s="11" t="s">
        <v>386</v>
      </c>
      <c r="C3" s="11" t="s">
        <v>387</v>
      </c>
      <c r="D3" s="14" t="s">
        <v>388</v>
      </c>
    </row>
    <row r="4" spans="1:4" x14ac:dyDescent="0.25">
      <c r="A4" s="29" t="s">
        <v>411</v>
      </c>
      <c r="B4" s="11"/>
      <c r="C4" s="11"/>
      <c r="D4" s="14">
        <v>14155699.525000002</v>
      </c>
    </row>
    <row r="5" spans="1:4" x14ac:dyDescent="0.25">
      <c r="A5" s="29" t="s">
        <v>412</v>
      </c>
      <c r="B5" s="11" t="s">
        <v>379</v>
      </c>
      <c r="C5" s="11"/>
      <c r="D5" s="14">
        <v>9443736.8160999995</v>
      </c>
    </row>
    <row r="6" spans="1:4" x14ac:dyDescent="0.25">
      <c r="A6" s="29" t="s">
        <v>412</v>
      </c>
      <c r="B6" s="11" t="s">
        <v>374</v>
      </c>
      <c r="C6" s="12" t="s">
        <v>380</v>
      </c>
      <c r="D6" s="14">
        <v>1871923.5038999999</v>
      </c>
    </row>
    <row r="7" spans="1:4" x14ac:dyDescent="0.25">
      <c r="A7" s="29" t="s">
        <v>412</v>
      </c>
      <c r="B7" s="11" t="s">
        <v>374</v>
      </c>
      <c r="C7" s="12" t="s">
        <v>375</v>
      </c>
      <c r="D7" s="14">
        <v>3452924.4536999995</v>
      </c>
    </row>
    <row r="8" spans="1:4" x14ac:dyDescent="0.25">
      <c r="A8" s="29" t="s">
        <v>412</v>
      </c>
      <c r="B8" s="11" t="s">
        <v>374</v>
      </c>
      <c r="C8" s="12" t="s">
        <v>376</v>
      </c>
      <c r="D8" s="14">
        <v>4610647.2152999993</v>
      </c>
    </row>
    <row r="9" spans="1:4" x14ac:dyDescent="0.25">
      <c r="A9" s="29" t="s">
        <v>412</v>
      </c>
      <c r="B9" s="11" t="s">
        <v>377</v>
      </c>
      <c r="C9" s="11"/>
      <c r="D9" s="14">
        <v>10164406.828099998</v>
      </c>
    </row>
    <row r="10" spans="1:4" x14ac:dyDescent="0.25">
      <c r="A10" s="29" t="s">
        <v>412</v>
      </c>
      <c r="B10" s="11" t="s">
        <v>378</v>
      </c>
      <c r="C10" s="11"/>
      <c r="D10" s="14">
        <v>8132061.4949000012</v>
      </c>
    </row>
    <row r="11" spans="1:4" x14ac:dyDescent="0.25">
      <c r="A11" s="29" t="s">
        <v>413</v>
      </c>
      <c r="B11" s="11"/>
      <c r="C11" s="11"/>
      <c r="D11" s="14">
        <v>48965887.963200048</v>
      </c>
    </row>
    <row r="12" spans="1:4" x14ac:dyDescent="0.25">
      <c r="A12" s="29" t="s">
        <v>414</v>
      </c>
      <c r="B12" s="11"/>
      <c r="C12" s="11"/>
      <c r="D12" s="14">
        <v>22419498.315699983</v>
      </c>
    </row>
    <row r="13" spans="1:4" s="5" customFormat="1" x14ac:dyDescent="0.25">
      <c r="A13" s="13" t="s">
        <v>373</v>
      </c>
      <c r="B13" s="13"/>
      <c r="C13" s="13"/>
      <c r="D13" s="15">
        <v>123216786.11590002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8ECF-BDA7-4A5E-944A-A84FDFA8DAAB}">
  <dimension ref="A1:C17"/>
  <sheetViews>
    <sheetView tabSelected="1" workbookViewId="0">
      <selection activeCell="A16" activeCellId="1" sqref="C4:C16 A3:A16"/>
    </sheetView>
  </sheetViews>
  <sheetFormatPr defaultRowHeight="15" x14ac:dyDescent="0.25"/>
  <cols>
    <col min="1" max="1" width="12.5703125" bestFit="1" customWidth="1"/>
    <col min="2" max="2" width="16.28515625" bestFit="1" customWidth="1"/>
    <col min="3" max="3" width="21.140625" customWidth="1"/>
  </cols>
  <sheetData>
    <row r="1" spans="1:3" x14ac:dyDescent="0.25">
      <c r="A1" s="10" t="s">
        <v>383</v>
      </c>
    </row>
    <row r="3" spans="1:3" x14ac:dyDescent="0.25">
      <c r="A3" s="6" t="s">
        <v>381</v>
      </c>
      <c r="B3" s="8" t="s">
        <v>388</v>
      </c>
    </row>
    <row r="4" spans="1:3" x14ac:dyDescent="0.25">
      <c r="A4" s="6" t="s">
        <v>415</v>
      </c>
      <c r="B4" s="8">
        <v>1074117.4187999996</v>
      </c>
      <c r="C4" s="30">
        <f>B4</f>
        <v>1074117.4187999996</v>
      </c>
    </row>
    <row r="5" spans="1:3" x14ac:dyDescent="0.25">
      <c r="A5" s="6" t="s">
        <v>416</v>
      </c>
      <c r="B5" s="8">
        <v>5647550.663300002</v>
      </c>
      <c r="C5" s="30">
        <f>B5-B4</f>
        <v>4573433.2445000019</v>
      </c>
    </row>
    <row r="6" spans="1:3" x14ac:dyDescent="0.25">
      <c r="A6" s="6" t="s">
        <v>417</v>
      </c>
      <c r="B6" s="8">
        <v>7434031.4429000001</v>
      </c>
      <c r="C6" s="30">
        <f t="shared" ref="C6:C16" si="0">B6-B5</f>
        <v>1786480.7795999981</v>
      </c>
    </row>
    <row r="7" spans="1:3" x14ac:dyDescent="0.25">
      <c r="A7" s="6" t="s">
        <v>418</v>
      </c>
      <c r="B7" s="8">
        <v>9443736.8160999995</v>
      </c>
      <c r="C7" s="30">
        <f t="shared" si="0"/>
        <v>2009705.3731999993</v>
      </c>
    </row>
    <row r="8" spans="1:3" x14ac:dyDescent="0.25">
      <c r="A8" s="6" t="s">
        <v>419</v>
      </c>
      <c r="B8" s="8">
        <v>9935495.1729000006</v>
      </c>
      <c r="C8" s="30">
        <f t="shared" si="0"/>
        <v>491758.35680000111</v>
      </c>
    </row>
    <row r="9" spans="1:3" x14ac:dyDescent="0.25">
      <c r="A9" s="6" t="s">
        <v>420</v>
      </c>
      <c r="B9" s="8">
        <v>10164406.828099998</v>
      </c>
      <c r="C9" s="30">
        <f t="shared" si="0"/>
        <v>228911.65519999713</v>
      </c>
    </row>
    <row r="10" spans="1:3" x14ac:dyDescent="0.25">
      <c r="A10" s="6" t="s">
        <v>421</v>
      </c>
      <c r="B10" s="8">
        <v>8132061.4949000012</v>
      </c>
      <c r="C10" s="30">
        <f t="shared" si="0"/>
        <v>-2032345.3331999965</v>
      </c>
    </row>
    <row r="11" spans="1:3" x14ac:dyDescent="0.25">
      <c r="A11" s="6" t="s">
        <v>422</v>
      </c>
      <c r="B11" s="8">
        <v>8771886.3577000014</v>
      </c>
      <c r="C11" s="30">
        <f t="shared" si="0"/>
        <v>639824.86280000024</v>
      </c>
    </row>
    <row r="12" spans="1:3" x14ac:dyDescent="0.25">
      <c r="A12" s="6" t="s">
        <v>423</v>
      </c>
      <c r="B12" s="8">
        <v>12225061.382999998</v>
      </c>
      <c r="C12" s="30">
        <f t="shared" si="0"/>
        <v>3453175.0252999961</v>
      </c>
    </row>
    <row r="13" spans="1:3" x14ac:dyDescent="0.25">
      <c r="A13" s="6" t="s">
        <v>424</v>
      </c>
      <c r="B13" s="8">
        <v>14339319.185099997</v>
      </c>
      <c r="C13" s="30">
        <f t="shared" si="0"/>
        <v>2114257.802099999</v>
      </c>
    </row>
    <row r="14" spans="1:3" x14ac:dyDescent="0.25">
      <c r="A14" s="6" t="s">
        <v>425</v>
      </c>
      <c r="B14" s="8">
        <v>13629621.037399996</v>
      </c>
      <c r="C14" s="30">
        <f t="shared" si="0"/>
        <v>-709698.14770000055</v>
      </c>
    </row>
    <row r="15" spans="1:3" x14ac:dyDescent="0.25">
      <c r="A15" s="6" t="s">
        <v>426</v>
      </c>
      <c r="B15" s="8">
        <v>14373277.476599997</v>
      </c>
      <c r="C15" s="30">
        <f t="shared" si="0"/>
        <v>743656.43920000084</v>
      </c>
    </row>
    <row r="16" spans="1:3" x14ac:dyDescent="0.25">
      <c r="A16" s="6" t="s">
        <v>427</v>
      </c>
      <c r="B16" s="8">
        <v>8046220.8391000004</v>
      </c>
      <c r="C16" s="30">
        <f t="shared" si="0"/>
        <v>-6327056.6374999965</v>
      </c>
    </row>
    <row r="17" spans="1:2" x14ac:dyDescent="0.25">
      <c r="A17" s="7" t="s">
        <v>382</v>
      </c>
      <c r="B17" s="9">
        <f>SUM(B4:B16)</f>
        <v>123216786.11589999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E1126-60DC-4ABC-A9E1-E2F87C4B35ED}">
  <dimension ref="A1:B1125"/>
  <sheetViews>
    <sheetView workbookViewId="0">
      <selection activeCell="C35" sqref="C35"/>
    </sheetView>
  </sheetViews>
  <sheetFormatPr defaultRowHeight="15" x14ac:dyDescent="0.25"/>
  <cols>
    <col min="1" max="1" width="11.5703125" style="21" bestFit="1" customWidth="1"/>
  </cols>
  <sheetData>
    <row r="1" spans="1:2" x14ac:dyDescent="0.25">
      <c r="A1" s="21" t="s">
        <v>371</v>
      </c>
      <c r="B1" t="s">
        <v>372</v>
      </c>
    </row>
    <row r="2" spans="1:2" x14ac:dyDescent="0.25">
      <c r="A2" s="21">
        <v>40694</v>
      </c>
      <c r="B2">
        <v>567020.94979999994</v>
      </c>
    </row>
    <row r="3" spans="1:2" x14ac:dyDescent="0.25">
      <c r="A3" s="21">
        <v>40695</v>
      </c>
      <c r="B3">
        <v>15394.3298</v>
      </c>
    </row>
    <row r="4" spans="1:2" x14ac:dyDescent="0.25">
      <c r="A4" s="21">
        <v>40696</v>
      </c>
      <c r="B4">
        <v>16588.457200000001</v>
      </c>
    </row>
    <row r="5" spans="1:2" x14ac:dyDescent="0.25">
      <c r="A5" s="21">
        <v>40697</v>
      </c>
      <c r="B5">
        <v>7907.9768000000004</v>
      </c>
    </row>
    <row r="6" spans="1:2" x14ac:dyDescent="0.25">
      <c r="A6" s="21">
        <v>40698</v>
      </c>
      <c r="B6">
        <v>16588.457200000001</v>
      </c>
    </row>
    <row r="7" spans="1:2" x14ac:dyDescent="0.25">
      <c r="A7" s="21">
        <v>40699</v>
      </c>
      <c r="B7">
        <v>15815.953600000001</v>
      </c>
    </row>
    <row r="8" spans="1:2" x14ac:dyDescent="0.25">
      <c r="A8" s="21">
        <v>40700</v>
      </c>
      <c r="B8">
        <v>8680.4804000000004</v>
      </c>
    </row>
    <row r="9" spans="1:2" x14ac:dyDescent="0.25">
      <c r="A9" s="21">
        <v>40701</v>
      </c>
      <c r="B9">
        <v>8680.4804000000004</v>
      </c>
    </row>
    <row r="10" spans="1:2" x14ac:dyDescent="0.25">
      <c r="A10" s="21">
        <v>40702</v>
      </c>
      <c r="B10">
        <v>23105.307199999999</v>
      </c>
    </row>
    <row r="11" spans="1:2" x14ac:dyDescent="0.25">
      <c r="A11" s="21">
        <v>40703</v>
      </c>
      <c r="B11">
        <v>11664.9658</v>
      </c>
    </row>
    <row r="12" spans="1:2" x14ac:dyDescent="0.25">
      <c r="A12" s="21">
        <v>40704</v>
      </c>
      <c r="B12">
        <v>15815.953600000001</v>
      </c>
    </row>
    <row r="13" spans="1:2" x14ac:dyDescent="0.25">
      <c r="A13" s="21">
        <v>40705</v>
      </c>
      <c r="B13">
        <v>15618.9542</v>
      </c>
    </row>
    <row r="14" spans="1:2" x14ac:dyDescent="0.25">
      <c r="A14" s="21">
        <v>40706</v>
      </c>
      <c r="B14">
        <v>7907.9768000000004</v>
      </c>
    </row>
    <row r="15" spans="1:2" x14ac:dyDescent="0.25">
      <c r="A15" s="21">
        <v>40707</v>
      </c>
      <c r="B15">
        <v>27677.918799999999</v>
      </c>
    </row>
    <row r="16" spans="1:2" x14ac:dyDescent="0.25">
      <c r="A16" s="21">
        <v>40708</v>
      </c>
      <c r="B16">
        <v>12409.8444</v>
      </c>
    </row>
    <row r="17" spans="1:2" x14ac:dyDescent="0.25">
      <c r="A17" s="21">
        <v>40709</v>
      </c>
      <c r="B17">
        <v>15815.953600000001</v>
      </c>
    </row>
    <row r="18" spans="1:2" x14ac:dyDescent="0.25">
      <c r="A18" s="21">
        <v>40710</v>
      </c>
      <c r="B18">
        <v>15618.9542</v>
      </c>
    </row>
    <row r="19" spans="1:2" x14ac:dyDescent="0.25">
      <c r="A19" s="21">
        <v>40711</v>
      </c>
      <c r="B19">
        <v>7683.3523999999998</v>
      </c>
    </row>
    <row r="20" spans="1:2" x14ac:dyDescent="0.25">
      <c r="A20" s="21">
        <v>40712</v>
      </c>
      <c r="B20">
        <v>28253.422999999999</v>
      </c>
    </row>
    <row r="21" spans="1:2" x14ac:dyDescent="0.25">
      <c r="A21" s="21">
        <v>40713</v>
      </c>
      <c r="B21">
        <v>12437.4694</v>
      </c>
    </row>
    <row r="22" spans="1:2" x14ac:dyDescent="0.25">
      <c r="A22" s="21">
        <v>40714</v>
      </c>
      <c r="B22">
        <v>15815.953600000001</v>
      </c>
    </row>
    <row r="23" spans="1:2" x14ac:dyDescent="0.25">
      <c r="A23" s="21">
        <v>40715</v>
      </c>
      <c r="B23">
        <v>42256.625999999997</v>
      </c>
    </row>
    <row r="24" spans="1:2" x14ac:dyDescent="0.25">
      <c r="A24" s="21">
        <v>40716</v>
      </c>
      <c r="B24">
        <v>16588.457200000001</v>
      </c>
    </row>
    <row r="25" spans="1:2" x14ac:dyDescent="0.25">
      <c r="A25" s="21">
        <v>40717</v>
      </c>
      <c r="B25">
        <v>11861.965200000001</v>
      </c>
    </row>
    <row r="26" spans="1:2" x14ac:dyDescent="0.25">
      <c r="A26" s="21">
        <v>40718</v>
      </c>
      <c r="B26">
        <v>12634.468800000001</v>
      </c>
    </row>
    <row r="27" spans="1:2" x14ac:dyDescent="0.25">
      <c r="A27" s="21">
        <v>40719</v>
      </c>
      <c r="B27">
        <v>19375.943200000002</v>
      </c>
    </row>
    <row r="28" spans="1:2" x14ac:dyDescent="0.25">
      <c r="A28" s="21">
        <v>40720</v>
      </c>
      <c r="B28">
        <v>30985.659</v>
      </c>
    </row>
    <row r="29" spans="1:2" x14ac:dyDescent="0.25">
      <c r="A29" s="21">
        <v>40721</v>
      </c>
      <c r="B29">
        <v>21862.828399999999</v>
      </c>
    </row>
    <row r="30" spans="1:2" x14ac:dyDescent="0.25">
      <c r="A30" s="21">
        <v>40722</v>
      </c>
      <c r="B30">
        <v>19545.317599999998</v>
      </c>
    </row>
    <row r="31" spans="1:2" x14ac:dyDescent="0.25">
      <c r="A31" s="21">
        <v>40723</v>
      </c>
      <c r="B31">
        <v>15914.584000000001</v>
      </c>
    </row>
    <row r="32" spans="1:2" x14ac:dyDescent="0.25">
      <c r="A32" s="21">
        <v>40724</v>
      </c>
      <c r="B32">
        <v>16588.457200000001</v>
      </c>
    </row>
    <row r="33" spans="1:2" x14ac:dyDescent="0.25">
      <c r="A33" s="21">
        <v>40725</v>
      </c>
      <c r="B33">
        <v>1752610.9975999999</v>
      </c>
    </row>
    <row r="34" spans="1:2" x14ac:dyDescent="0.25">
      <c r="A34" s="21">
        <v>40726</v>
      </c>
      <c r="B34">
        <v>11861.965200000001</v>
      </c>
    </row>
    <row r="35" spans="1:2" x14ac:dyDescent="0.25">
      <c r="A35" s="21">
        <v>40727</v>
      </c>
      <c r="B35">
        <v>12409.8444</v>
      </c>
    </row>
    <row r="36" spans="1:2" x14ac:dyDescent="0.25">
      <c r="A36" s="21">
        <v>40728</v>
      </c>
      <c r="B36">
        <v>19375.943200000002</v>
      </c>
    </row>
    <row r="37" spans="1:2" x14ac:dyDescent="0.25">
      <c r="A37" s="21">
        <v>40729</v>
      </c>
      <c r="B37">
        <v>17360.960800000001</v>
      </c>
    </row>
    <row r="38" spans="1:2" x14ac:dyDescent="0.25">
      <c r="A38" s="21">
        <v>40730</v>
      </c>
      <c r="B38">
        <v>28056.423599999998</v>
      </c>
    </row>
    <row r="39" spans="1:2" x14ac:dyDescent="0.25">
      <c r="A39" s="21">
        <v>40731</v>
      </c>
      <c r="B39">
        <v>15815.953600000001</v>
      </c>
    </row>
    <row r="40" spans="1:2" x14ac:dyDescent="0.25">
      <c r="A40" s="21">
        <v>40732</v>
      </c>
      <c r="B40">
        <v>12437.4694</v>
      </c>
    </row>
    <row r="41" spans="1:2" x14ac:dyDescent="0.25">
      <c r="A41" s="21">
        <v>40733</v>
      </c>
      <c r="B41">
        <v>15366.7048</v>
      </c>
    </row>
    <row r="42" spans="1:2" x14ac:dyDescent="0.25">
      <c r="A42" s="21">
        <v>40734</v>
      </c>
      <c r="B42">
        <v>23302.3066</v>
      </c>
    </row>
    <row r="43" spans="1:2" x14ac:dyDescent="0.25">
      <c r="A43" s="21">
        <v>40735</v>
      </c>
      <c r="B43">
        <v>19769.941999999999</v>
      </c>
    </row>
    <row r="44" spans="1:2" x14ac:dyDescent="0.25">
      <c r="A44" s="21">
        <v>40736</v>
      </c>
      <c r="B44">
        <v>23723.930400000001</v>
      </c>
    </row>
    <row r="45" spans="1:2" x14ac:dyDescent="0.25">
      <c r="A45" s="21">
        <v>40737</v>
      </c>
      <c r="B45">
        <v>13182.348</v>
      </c>
    </row>
    <row r="46" spans="1:2" x14ac:dyDescent="0.25">
      <c r="A46" s="21">
        <v>40738</v>
      </c>
      <c r="B46">
        <v>15815.953600000001</v>
      </c>
    </row>
    <row r="47" spans="1:2" x14ac:dyDescent="0.25">
      <c r="A47" s="21">
        <v>40739</v>
      </c>
      <c r="B47">
        <v>23329.9316</v>
      </c>
    </row>
    <row r="48" spans="1:2" x14ac:dyDescent="0.25">
      <c r="A48" s="21">
        <v>40741</v>
      </c>
      <c r="B48">
        <v>3953.9884000000002</v>
      </c>
    </row>
    <row r="49" spans="1:2" x14ac:dyDescent="0.25">
      <c r="A49" s="21">
        <v>40742</v>
      </c>
      <c r="B49">
        <v>23499.306</v>
      </c>
    </row>
    <row r="50" spans="1:2" x14ac:dyDescent="0.25">
      <c r="A50" s="21">
        <v>40743</v>
      </c>
      <c r="B50">
        <v>18905.968000000001</v>
      </c>
    </row>
    <row r="51" spans="1:2" x14ac:dyDescent="0.25">
      <c r="A51" s="21">
        <v>40744</v>
      </c>
      <c r="B51">
        <v>23499.306</v>
      </c>
    </row>
    <row r="52" spans="1:2" x14ac:dyDescent="0.25">
      <c r="A52" s="21">
        <v>40745</v>
      </c>
      <c r="B52">
        <v>30958.034</v>
      </c>
    </row>
    <row r="53" spans="1:2" x14ac:dyDescent="0.25">
      <c r="A53" s="21">
        <v>40746</v>
      </c>
      <c r="B53">
        <v>19545.317599999998</v>
      </c>
    </row>
    <row r="54" spans="1:2" x14ac:dyDescent="0.25">
      <c r="A54" s="21">
        <v>40747</v>
      </c>
      <c r="B54">
        <v>11637.3408</v>
      </c>
    </row>
    <row r="55" spans="1:2" x14ac:dyDescent="0.25">
      <c r="A55" s="21">
        <v>40748</v>
      </c>
      <c r="B55">
        <v>32010.412</v>
      </c>
    </row>
    <row r="56" spans="1:2" x14ac:dyDescent="0.25">
      <c r="A56" s="21">
        <v>40749</v>
      </c>
      <c r="B56">
        <v>8455.8559999999998</v>
      </c>
    </row>
    <row r="57" spans="1:2" x14ac:dyDescent="0.25">
      <c r="A57" s="21">
        <v>40750</v>
      </c>
      <c r="B57">
        <v>27283.919999999998</v>
      </c>
    </row>
    <row r="58" spans="1:2" x14ac:dyDescent="0.25">
      <c r="A58" s="21">
        <v>40751</v>
      </c>
      <c r="B58">
        <v>7907.9768000000004</v>
      </c>
    </row>
    <row r="59" spans="1:2" x14ac:dyDescent="0.25">
      <c r="A59" s="21">
        <v>40752</v>
      </c>
      <c r="B59">
        <v>7907.9768000000004</v>
      </c>
    </row>
    <row r="60" spans="1:2" x14ac:dyDescent="0.25">
      <c r="A60" s="21">
        <v>40753</v>
      </c>
      <c r="B60">
        <v>21862.828399999999</v>
      </c>
    </row>
    <row r="61" spans="1:2" x14ac:dyDescent="0.25">
      <c r="A61" s="21">
        <v>40754</v>
      </c>
      <c r="B61">
        <v>27283.919999999998</v>
      </c>
    </row>
    <row r="62" spans="1:2" x14ac:dyDescent="0.25">
      <c r="A62" s="21">
        <v>40755</v>
      </c>
      <c r="B62">
        <v>23050.057199999999</v>
      </c>
    </row>
    <row r="63" spans="1:2" x14ac:dyDescent="0.25">
      <c r="A63" s="21">
        <v>40756</v>
      </c>
      <c r="B63">
        <v>1328936.4753</v>
      </c>
    </row>
    <row r="64" spans="1:2" x14ac:dyDescent="0.25">
      <c r="A64" s="21">
        <v>40757</v>
      </c>
      <c r="B64">
        <v>39539.883999999998</v>
      </c>
    </row>
    <row r="65" spans="1:2" x14ac:dyDescent="0.25">
      <c r="A65" s="21">
        <v>40758</v>
      </c>
      <c r="B65">
        <v>12634.468800000001</v>
      </c>
    </row>
    <row r="66" spans="1:2" x14ac:dyDescent="0.25">
      <c r="A66" s="21">
        <v>40759</v>
      </c>
      <c r="B66">
        <v>23329.9316</v>
      </c>
    </row>
    <row r="67" spans="1:2" x14ac:dyDescent="0.25">
      <c r="A67" s="21">
        <v>40760</v>
      </c>
      <c r="B67">
        <v>11861.965200000001</v>
      </c>
    </row>
    <row r="68" spans="1:2" x14ac:dyDescent="0.25">
      <c r="A68" s="21">
        <v>40761</v>
      </c>
      <c r="B68">
        <v>24496.434000000001</v>
      </c>
    </row>
    <row r="69" spans="1:2" x14ac:dyDescent="0.25">
      <c r="A69" s="21">
        <v>40762</v>
      </c>
      <c r="B69">
        <v>16588.457200000001</v>
      </c>
    </row>
    <row r="70" spans="1:2" x14ac:dyDescent="0.25">
      <c r="A70" s="21">
        <v>40763</v>
      </c>
      <c r="B70">
        <v>11861.965200000001</v>
      </c>
    </row>
    <row r="71" spans="1:2" x14ac:dyDescent="0.25">
      <c r="A71" s="21">
        <v>40764</v>
      </c>
      <c r="B71">
        <v>27031.670600000001</v>
      </c>
    </row>
    <row r="72" spans="1:2" x14ac:dyDescent="0.25">
      <c r="A72" s="21">
        <v>40765</v>
      </c>
      <c r="B72">
        <v>11861.965200000001</v>
      </c>
    </row>
    <row r="73" spans="1:2" x14ac:dyDescent="0.25">
      <c r="A73" s="21">
        <v>40767</v>
      </c>
      <c r="B73">
        <v>7710.9773999999998</v>
      </c>
    </row>
    <row r="74" spans="1:2" x14ac:dyDescent="0.25">
      <c r="A74" s="21">
        <v>40768</v>
      </c>
      <c r="B74">
        <v>9228.3595999999998</v>
      </c>
    </row>
    <row r="75" spans="1:2" x14ac:dyDescent="0.25">
      <c r="A75" s="21">
        <v>40769</v>
      </c>
      <c r="B75">
        <v>19769.941999999999</v>
      </c>
    </row>
    <row r="76" spans="1:2" x14ac:dyDescent="0.25">
      <c r="A76" s="21">
        <v>40770</v>
      </c>
      <c r="B76">
        <v>15815.953600000001</v>
      </c>
    </row>
    <row r="77" spans="1:2" x14ac:dyDescent="0.25">
      <c r="A77" s="21">
        <v>40771</v>
      </c>
      <c r="B77">
        <v>16588.457200000001</v>
      </c>
    </row>
    <row r="78" spans="1:2" x14ac:dyDescent="0.25">
      <c r="A78" s="21">
        <v>40772</v>
      </c>
      <c r="B78">
        <v>15421.9548</v>
      </c>
    </row>
    <row r="79" spans="1:2" x14ac:dyDescent="0.25">
      <c r="A79" s="21">
        <v>40773</v>
      </c>
      <c r="B79">
        <v>19769.941999999999</v>
      </c>
    </row>
    <row r="80" spans="1:2" x14ac:dyDescent="0.25">
      <c r="A80" s="21">
        <v>40774</v>
      </c>
      <c r="B80">
        <v>28253.422999999999</v>
      </c>
    </row>
    <row r="81" spans="1:2" x14ac:dyDescent="0.25">
      <c r="A81" s="21">
        <v>40775</v>
      </c>
      <c r="B81">
        <v>7907.9768000000004</v>
      </c>
    </row>
    <row r="82" spans="1:2" x14ac:dyDescent="0.25">
      <c r="A82" s="21">
        <v>40776</v>
      </c>
      <c r="B82">
        <v>24650.314399999999</v>
      </c>
    </row>
    <row r="83" spans="1:2" x14ac:dyDescent="0.25">
      <c r="A83" s="21">
        <v>40777</v>
      </c>
      <c r="B83">
        <v>23723.930400000001</v>
      </c>
    </row>
    <row r="84" spans="1:2" x14ac:dyDescent="0.25">
      <c r="A84" s="21">
        <v>40778</v>
      </c>
      <c r="B84">
        <v>24496.434000000001</v>
      </c>
    </row>
    <row r="85" spans="1:2" x14ac:dyDescent="0.25">
      <c r="A85" s="21">
        <v>40779</v>
      </c>
      <c r="B85">
        <v>11861.965200000001</v>
      </c>
    </row>
    <row r="86" spans="1:2" x14ac:dyDescent="0.25">
      <c r="A86" s="21">
        <v>40780</v>
      </c>
      <c r="B86">
        <v>11861.965200000001</v>
      </c>
    </row>
    <row r="87" spans="1:2" x14ac:dyDescent="0.25">
      <c r="A87" s="21">
        <v>40781</v>
      </c>
      <c r="B87">
        <v>16588.457200000001</v>
      </c>
    </row>
    <row r="88" spans="1:2" x14ac:dyDescent="0.25">
      <c r="A88" s="21">
        <v>40782</v>
      </c>
      <c r="B88">
        <v>29995.429599999999</v>
      </c>
    </row>
    <row r="89" spans="1:2" x14ac:dyDescent="0.25">
      <c r="A89" s="21">
        <v>40783</v>
      </c>
      <c r="B89">
        <v>4726.4920000000002</v>
      </c>
    </row>
    <row r="90" spans="1:2" x14ac:dyDescent="0.25">
      <c r="A90" s="21">
        <v>40784</v>
      </c>
      <c r="B90">
        <v>772.50360000000001</v>
      </c>
    </row>
    <row r="91" spans="1:2" x14ac:dyDescent="0.25">
      <c r="A91" s="21">
        <v>40785</v>
      </c>
      <c r="B91">
        <v>39539.883999999998</v>
      </c>
    </row>
    <row r="92" spans="1:2" x14ac:dyDescent="0.25">
      <c r="A92" s="21">
        <v>40786</v>
      </c>
      <c r="B92">
        <v>963748.5932</v>
      </c>
    </row>
    <row r="93" spans="1:2" x14ac:dyDescent="0.25">
      <c r="A93" s="21">
        <v>40787</v>
      </c>
      <c r="B93">
        <v>11637.3408</v>
      </c>
    </row>
    <row r="94" spans="1:2" x14ac:dyDescent="0.25">
      <c r="A94" s="21">
        <v>40788</v>
      </c>
      <c r="B94">
        <v>15815.953600000001</v>
      </c>
    </row>
    <row r="95" spans="1:2" x14ac:dyDescent="0.25">
      <c r="A95" s="21">
        <v>40789</v>
      </c>
      <c r="B95">
        <v>7907.9768000000004</v>
      </c>
    </row>
    <row r="96" spans="1:2" x14ac:dyDescent="0.25">
      <c r="A96" s="21">
        <v>40790</v>
      </c>
      <c r="B96">
        <v>27831.799200000001</v>
      </c>
    </row>
    <row r="97" spans="1:2" x14ac:dyDescent="0.25">
      <c r="A97" s="21">
        <v>40791</v>
      </c>
      <c r="B97">
        <v>8455.8559999999998</v>
      </c>
    </row>
    <row r="98" spans="1:2" x14ac:dyDescent="0.25">
      <c r="A98" s="21">
        <v>40792</v>
      </c>
      <c r="B98">
        <v>12634.468800000001</v>
      </c>
    </row>
    <row r="99" spans="1:2" x14ac:dyDescent="0.25">
      <c r="A99" s="21">
        <v>40793</v>
      </c>
      <c r="B99">
        <v>36736.904000000002</v>
      </c>
    </row>
    <row r="100" spans="1:2" x14ac:dyDescent="0.25">
      <c r="A100" s="21">
        <v>40794</v>
      </c>
      <c r="B100">
        <v>32179.786400000001</v>
      </c>
    </row>
    <row r="101" spans="1:2" x14ac:dyDescent="0.25">
      <c r="A101" s="21">
        <v>40795</v>
      </c>
      <c r="B101">
        <v>19769.941999999999</v>
      </c>
    </row>
    <row r="102" spans="1:2" x14ac:dyDescent="0.25">
      <c r="A102" s="21">
        <v>40796</v>
      </c>
      <c r="B102">
        <v>30958.034</v>
      </c>
    </row>
    <row r="103" spans="1:2" x14ac:dyDescent="0.25">
      <c r="A103" s="21">
        <v>40797</v>
      </c>
      <c r="B103">
        <v>47026.237000000001</v>
      </c>
    </row>
    <row r="104" spans="1:2" x14ac:dyDescent="0.25">
      <c r="A104" s="21">
        <v>40798</v>
      </c>
      <c r="B104">
        <v>20148.446800000002</v>
      </c>
    </row>
    <row r="105" spans="1:2" x14ac:dyDescent="0.25">
      <c r="A105" s="21">
        <v>40799</v>
      </c>
      <c r="B105">
        <v>11861.965200000001</v>
      </c>
    </row>
    <row r="106" spans="1:2" x14ac:dyDescent="0.25">
      <c r="A106" s="21">
        <v>40800</v>
      </c>
      <c r="B106">
        <v>7683.3523999999998</v>
      </c>
    </row>
    <row r="107" spans="1:2" x14ac:dyDescent="0.25">
      <c r="A107" s="21">
        <v>40801</v>
      </c>
      <c r="B107">
        <v>20093.196800000002</v>
      </c>
    </row>
    <row r="108" spans="1:2" x14ac:dyDescent="0.25">
      <c r="A108" s="21">
        <v>40802</v>
      </c>
      <c r="B108">
        <v>11637.3408</v>
      </c>
    </row>
    <row r="109" spans="1:2" x14ac:dyDescent="0.25">
      <c r="A109" s="21">
        <v>40803</v>
      </c>
      <c r="B109">
        <v>31434.907800000001</v>
      </c>
    </row>
    <row r="110" spans="1:2" x14ac:dyDescent="0.25">
      <c r="A110" s="21">
        <v>40804</v>
      </c>
      <c r="B110">
        <v>16588.457200000001</v>
      </c>
    </row>
    <row r="111" spans="1:2" x14ac:dyDescent="0.25">
      <c r="A111" s="21">
        <v>40805</v>
      </c>
      <c r="B111">
        <v>23723.930400000001</v>
      </c>
    </row>
    <row r="112" spans="1:2" x14ac:dyDescent="0.25">
      <c r="A112" s="21">
        <v>40806</v>
      </c>
      <c r="B112">
        <v>11861.965200000001</v>
      </c>
    </row>
    <row r="113" spans="1:2" x14ac:dyDescent="0.25">
      <c r="A113" s="21">
        <v>40807</v>
      </c>
      <c r="B113">
        <v>12437.4694</v>
      </c>
    </row>
    <row r="114" spans="1:2" x14ac:dyDescent="0.25">
      <c r="A114" s="21">
        <v>40808</v>
      </c>
      <c r="B114">
        <v>16588.457200000001</v>
      </c>
    </row>
    <row r="115" spans="1:2" x14ac:dyDescent="0.25">
      <c r="A115" s="21">
        <v>40810</v>
      </c>
      <c r="B115">
        <v>3953.9884000000002</v>
      </c>
    </row>
    <row r="116" spans="1:2" x14ac:dyDescent="0.25">
      <c r="A116" s="21">
        <v>40811</v>
      </c>
      <c r="B116">
        <v>7907.9768000000004</v>
      </c>
    </row>
    <row r="117" spans="1:2" x14ac:dyDescent="0.25">
      <c r="A117" s="21">
        <v>40812</v>
      </c>
      <c r="B117">
        <v>33176.914400000001</v>
      </c>
    </row>
    <row r="118" spans="1:2" x14ac:dyDescent="0.25">
      <c r="A118" s="21">
        <v>40813</v>
      </c>
      <c r="B118">
        <v>16588.457200000001</v>
      </c>
    </row>
    <row r="119" spans="1:2" x14ac:dyDescent="0.25">
      <c r="A119" s="21">
        <v>40814</v>
      </c>
      <c r="B119">
        <v>26392.321</v>
      </c>
    </row>
    <row r="120" spans="1:2" x14ac:dyDescent="0.25">
      <c r="A120" s="21">
        <v>40815</v>
      </c>
      <c r="B120">
        <v>24299.434600000001</v>
      </c>
    </row>
    <row r="121" spans="1:2" x14ac:dyDescent="0.25">
      <c r="A121" s="21">
        <v>40816</v>
      </c>
      <c r="B121">
        <v>7458.7280000000001</v>
      </c>
    </row>
    <row r="122" spans="1:2" x14ac:dyDescent="0.25">
      <c r="A122" s="21">
        <v>40817</v>
      </c>
      <c r="B122">
        <v>2640560.0548</v>
      </c>
    </row>
    <row r="123" spans="1:2" x14ac:dyDescent="0.25">
      <c r="A123" s="21">
        <v>40818</v>
      </c>
      <c r="B123">
        <v>11861.965200000001</v>
      </c>
    </row>
    <row r="124" spans="1:2" x14ac:dyDescent="0.25">
      <c r="A124" s="21">
        <v>40819</v>
      </c>
      <c r="B124">
        <v>15394.3298</v>
      </c>
    </row>
    <row r="125" spans="1:2" x14ac:dyDescent="0.25">
      <c r="A125" s="21">
        <v>40820</v>
      </c>
      <c r="B125">
        <v>20345.446199999998</v>
      </c>
    </row>
    <row r="126" spans="1:2" x14ac:dyDescent="0.25">
      <c r="A126" s="21">
        <v>40821</v>
      </c>
      <c r="B126">
        <v>24299.434600000001</v>
      </c>
    </row>
    <row r="127" spans="1:2" x14ac:dyDescent="0.25">
      <c r="A127" s="21">
        <v>40822</v>
      </c>
      <c r="B127">
        <v>19348.318200000002</v>
      </c>
    </row>
    <row r="128" spans="1:2" x14ac:dyDescent="0.25">
      <c r="A128" s="21">
        <v>40823</v>
      </c>
      <c r="B128">
        <v>29222.925999999999</v>
      </c>
    </row>
    <row r="129" spans="1:2" x14ac:dyDescent="0.25">
      <c r="A129" s="21">
        <v>40824</v>
      </c>
      <c r="B129">
        <v>31631.907200000001</v>
      </c>
    </row>
    <row r="130" spans="1:2" x14ac:dyDescent="0.25">
      <c r="A130" s="21">
        <v>40825</v>
      </c>
      <c r="B130">
        <v>15815.953600000001</v>
      </c>
    </row>
    <row r="131" spans="1:2" x14ac:dyDescent="0.25">
      <c r="A131" s="21">
        <v>40826</v>
      </c>
      <c r="B131">
        <v>24047.1852</v>
      </c>
    </row>
    <row r="132" spans="1:2" x14ac:dyDescent="0.25">
      <c r="A132" s="21">
        <v>40827</v>
      </c>
      <c r="B132">
        <v>23723.930400000001</v>
      </c>
    </row>
    <row r="133" spans="1:2" x14ac:dyDescent="0.25">
      <c r="A133" s="21">
        <v>40828</v>
      </c>
      <c r="B133">
        <v>21314.949199999999</v>
      </c>
    </row>
    <row r="134" spans="1:2" x14ac:dyDescent="0.25">
      <c r="A134" s="21">
        <v>40829</v>
      </c>
      <c r="B134">
        <v>30619.285199999998</v>
      </c>
    </row>
    <row r="135" spans="1:2" x14ac:dyDescent="0.25">
      <c r="A135" s="21">
        <v>40830</v>
      </c>
      <c r="B135">
        <v>31758.1626</v>
      </c>
    </row>
    <row r="136" spans="1:2" x14ac:dyDescent="0.25">
      <c r="A136" s="21">
        <v>40831</v>
      </c>
      <c r="B136">
        <v>17136.3364</v>
      </c>
    </row>
    <row r="137" spans="1:2" x14ac:dyDescent="0.25">
      <c r="A137" s="21">
        <v>40832</v>
      </c>
      <c r="B137">
        <v>27453.294399999999</v>
      </c>
    </row>
    <row r="138" spans="1:2" x14ac:dyDescent="0.25">
      <c r="A138" s="21">
        <v>40833</v>
      </c>
      <c r="B138">
        <v>12634.468800000001</v>
      </c>
    </row>
    <row r="139" spans="1:2" x14ac:dyDescent="0.25">
      <c r="A139" s="21">
        <v>40834</v>
      </c>
      <c r="B139">
        <v>11664.9658</v>
      </c>
    </row>
    <row r="140" spans="1:2" x14ac:dyDescent="0.25">
      <c r="A140" s="21">
        <v>40835</v>
      </c>
      <c r="B140">
        <v>20542.445599999999</v>
      </c>
    </row>
    <row r="141" spans="1:2" x14ac:dyDescent="0.25">
      <c r="A141" s="21">
        <v>40836</v>
      </c>
      <c r="B141">
        <v>16391.4578</v>
      </c>
    </row>
    <row r="142" spans="1:2" x14ac:dyDescent="0.25">
      <c r="A142" s="21">
        <v>40837</v>
      </c>
      <c r="B142">
        <v>23329.9316</v>
      </c>
    </row>
    <row r="143" spans="1:2" x14ac:dyDescent="0.25">
      <c r="A143" s="21">
        <v>40838</v>
      </c>
      <c r="B143">
        <v>4726.4920000000002</v>
      </c>
    </row>
    <row r="144" spans="1:2" x14ac:dyDescent="0.25">
      <c r="A144" s="21">
        <v>40839</v>
      </c>
      <c r="B144">
        <v>12634.468800000001</v>
      </c>
    </row>
    <row r="145" spans="1:2" x14ac:dyDescent="0.25">
      <c r="A145" s="21">
        <v>40840</v>
      </c>
      <c r="B145">
        <v>27228.67</v>
      </c>
    </row>
    <row r="146" spans="1:2" x14ac:dyDescent="0.25">
      <c r="A146" s="21">
        <v>40841</v>
      </c>
      <c r="B146">
        <v>11637.3408</v>
      </c>
    </row>
    <row r="147" spans="1:2" x14ac:dyDescent="0.25">
      <c r="A147" s="21">
        <v>40842</v>
      </c>
      <c r="B147">
        <v>20542.445599999999</v>
      </c>
    </row>
    <row r="148" spans="1:2" x14ac:dyDescent="0.25">
      <c r="A148" s="21">
        <v>40843</v>
      </c>
      <c r="B148">
        <v>8680.4804000000004</v>
      </c>
    </row>
    <row r="149" spans="1:2" x14ac:dyDescent="0.25">
      <c r="A149" s="21">
        <v>40844</v>
      </c>
      <c r="B149">
        <v>23905.435799999999</v>
      </c>
    </row>
    <row r="150" spans="1:2" x14ac:dyDescent="0.25">
      <c r="A150" s="21">
        <v>40845</v>
      </c>
      <c r="B150">
        <v>19769.941999999999</v>
      </c>
    </row>
    <row r="151" spans="1:2" x14ac:dyDescent="0.25">
      <c r="A151" s="21">
        <v>40846</v>
      </c>
      <c r="B151">
        <v>20542.445599999999</v>
      </c>
    </row>
    <row r="152" spans="1:2" x14ac:dyDescent="0.25">
      <c r="A152" s="21">
        <v>40847</v>
      </c>
      <c r="B152">
        <v>1937505.0595</v>
      </c>
    </row>
    <row r="153" spans="1:2" x14ac:dyDescent="0.25">
      <c r="A153" s="21">
        <v>40848</v>
      </c>
      <c r="B153">
        <v>28225.797999999999</v>
      </c>
    </row>
    <row r="154" spans="1:2" x14ac:dyDescent="0.25">
      <c r="A154" s="21">
        <v>40849</v>
      </c>
      <c r="B154">
        <v>39118.260199999997</v>
      </c>
    </row>
    <row r="155" spans="1:2" x14ac:dyDescent="0.25">
      <c r="A155" s="21">
        <v>40850</v>
      </c>
      <c r="B155">
        <v>16391.4578</v>
      </c>
    </row>
    <row r="156" spans="1:2" x14ac:dyDescent="0.25">
      <c r="A156" s="21">
        <v>40851</v>
      </c>
      <c r="B156">
        <v>23274.6816</v>
      </c>
    </row>
    <row r="157" spans="1:2" x14ac:dyDescent="0.25">
      <c r="A157" s="21">
        <v>40852</v>
      </c>
      <c r="B157">
        <v>19769.941999999999</v>
      </c>
    </row>
    <row r="158" spans="1:2" x14ac:dyDescent="0.25">
      <c r="A158" s="21">
        <v>40853</v>
      </c>
      <c r="B158">
        <v>23526.931</v>
      </c>
    </row>
    <row r="159" spans="1:2" x14ac:dyDescent="0.25">
      <c r="A159" s="21">
        <v>40854</v>
      </c>
      <c r="B159">
        <v>61276.718399999998</v>
      </c>
    </row>
    <row r="160" spans="1:2" x14ac:dyDescent="0.25">
      <c r="A160" s="21">
        <v>40855</v>
      </c>
      <c r="B160">
        <v>19572.942599999998</v>
      </c>
    </row>
    <row r="161" spans="1:2" x14ac:dyDescent="0.25">
      <c r="A161" s="21">
        <v>40856</v>
      </c>
      <c r="B161">
        <v>7907.9768000000004</v>
      </c>
    </row>
    <row r="162" spans="1:2" x14ac:dyDescent="0.25">
      <c r="A162" s="21">
        <v>40857</v>
      </c>
      <c r="B162">
        <v>40312.387600000002</v>
      </c>
    </row>
    <row r="163" spans="1:2" x14ac:dyDescent="0.25">
      <c r="A163" s="21">
        <v>40858</v>
      </c>
      <c r="B163">
        <v>15815.953600000001</v>
      </c>
    </row>
    <row r="164" spans="1:2" x14ac:dyDescent="0.25">
      <c r="A164" s="21">
        <v>40859</v>
      </c>
      <c r="B164">
        <v>42201.375999999997</v>
      </c>
    </row>
    <row r="165" spans="1:2" x14ac:dyDescent="0.25">
      <c r="A165" s="21">
        <v>40860</v>
      </c>
      <c r="B165">
        <v>19545.317599999998</v>
      </c>
    </row>
    <row r="166" spans="1:2" x14ac:dyDescent="0.25">
      <c r="A166" s="21">
        <v>40861</v>
      </c>
      <c r="B166">
        <v>43844.752200000003</v>
      </c>
    </row>
    <row r="167" spans="1:2" x14ac:dyDescent="0.25">
      <c r="A167" s="21">
        <v>40862</v>
      </c>
      <c r="B167">
        <v>24271.809600000001</v>
      </c>
    </row>
    <row r="168" spans="1:2" x14ac:dyDescent="0.25">
      <c r="A168" s="21">
        <v>40863</v>
      </c>
      <c r="B168">
        <v>12409.8444</v>
      </c>
    </row>
    <row r="169" spans="1:2" x14ac:dyDescent="0.25">
      <c r="A169" s="21">
        <v>40864</v>
      </c>
      <c r="B169">
        <v>23723.930400000001</v>
      </c>
    </row>
    <row r="170" spans="1:2" x14ac:dyDescent="0.25">
      <c r="A170" s="21">
        <v>40865</v>
      </c>
      <c r="B170">
        <v>45389.759400000003</v>
      </c>
    </row>
    <row r="171" spans="1:2" x14ac:dyDescent="0.25">
      <c r="A171" s="21">
        <v>40866</v>
      </c>
      <c r="B171">
        <v>31730.5376</v>
      </c>
    </row>
    <row r="172" spans="1:2" x14ac:dyDescent="0.25">
      <c r="A172" s="21">
        <v>40867</v>
      </c>
      <c r="B172">
        <v>29798.430199999999</v>
      </c>
    </row>
    <row r="173" spans="1:2" x14ac:dyDescent="0.25">
      <c r="A173" s="21">
        <v>40868</v>
      </c>
      <c r="B173">
        <v>24496.434000000001</v>
      </c>
    </row>
    <row r="174" spans="1:2" x14ac:dyDescent="0.25">
      <c r="A174" s="21">
        <v>40869</v>
      </c>
      <c r="B174">
        <v>28450.422399999999</v>
      </c>
    </row>
    <row r="175" spans="1:2" x14ac:dyDescent="0.25">
      <c r="A175" s="21">
        <v>40870</v>
      </c>
      <c r="B175">
        <v>16588.457200000001</v>
      </c>
    </row>
    <row r="176" spans="1:2" x14ac:dyDescent="0.25">
      <c r="A176" s="21">
        <v>40871</v>
      </c>
      <c r="B176">
        <v>21090.324799999999</v>
      </c>
    </row>
    <row r="177" spans="1:2" x14ac:dyDescent="0.25">
      <c r="A177" s="21">
        <v>40872</v>
      </c>
      <c r="B177">
        <v>28225.797999999999</v>
      </c>
    </row>
    <row r="178" spans="1:2" x14ac:dyDescent="0.25">
      <c r="A178" s="21">
        <v>40873</v>
      </c>
      <c r="B178">
        <v>15815.953600000001</v>
      </c>
    </row>
    <row r="179" spans="1:2" x14ac:dyDescent="0.25">
      <c r="A179" s="21">
        <v>40874</v>
      </c>
      <c r="B179">
        <v>29798.430199999999</v>
      </c>
    </row>
    <row r="180" spans="1:2" x14ac:dyDescent="0.25">
      <c r="A180" s="21">
        <v>40875</v>
      </c>
      <c r="B180">
        <v>31182.6584</v>
      </c>
    </row>
    <row r="181" spans="1:2" x14ac:dyDescent="0.25">
      <c r="A181" s="21">
        <v>40876</v>
      </c>
      <c r="B181">
        <v>27059.295600000001</v>
      </c>
    </row>
    <row r="182" spans="1:2" x14ac:dyDescent="0.25">
      <c r="A182" s="21">
        <v>40877</v>
      </c>
      <c r="B182">
        <v>24496.434000000001</v>
      </c>
    </row>
    <row r="183" spans="1:2" x14ac:dyDescent="0.25">
      <c r="A183" s="21">
        <v>40878</v>
      </c>
      <c r="B183">
        <v>816226.29099999997</v>
      </c>
    </row>
    <row r="184" spans="1:2" x14ac:dyDescent="0.25">
      <c r="A184" s="21">
        <v>40879</v>
      </c>
      <c r="B184">
        <v>15815.953600000001</v>
      </c>
    </row>
    <row r="185" spans="1:2" x14ac:dyDescent="0.25">
      <c r="A185" s="21">
        <v>40880</v>
      </c>
      <c r="B185">
        <v>30985.659</v>
      </c>
    </row>
    <row r="186" spans="1:2" x14ac:dyDescent="0.25">
      <c r="A186" s="21">
        <v>40881</v>
      </c>
      <c r="B186">
        <v>19572.942599999998</v>
      </c>
    </row>
    <row r="187" spans="1:2" x14ac:dyDescent="0.25">
      <c r="A187" s="21">
        <v>40882</v>
      </c>
      <c r="B187">
        <v>8680.4804000000004</v>
      </c>
    </row>
    <row r="188" spans="1:2" x14ac:dyDescent="0.25">
      <c r="A188" s="21">
        <v>40883</v>
      </c>
      <c r="B188">
        <v>23499.306</v>
      </c>
    </row>
    <row r="189" spans="1:2" x14ac:dyDescent="0.25">
      <c r="A189" s="21">
        <v>40884</v>
      </c>
      <c r="B189">
        <v>9452.9840000000004</v>
      </c>
    </row>
    <row r="190" spans="1:2" x14ac:dyDescent="0.25">
      <c r="A190" s="21">
        <v>40885</v>
      </c>
      <c r="B190">
        <v>28028.798599999998</v>
      </c>
    </row>
    <row r="191" spans="1:2" x14ac:dyDescent="0.25">
      <c r="A191" s="21">
        <v>40886</v>
      </c>
      <c r="B191">
        <v>19769.941999999999</v>
      </c>
    </row>
    <row r="192" spans="1:2" x14ac:dyDescent="0.25">
      <c r="A192" s="21">
        <v>40887</v>
      </c>
      <c r="B192">
        <v>15591.3292</v>
      </c>
    </row>
    <row r="193" spans="1:2" x14ac:dyDescent="0.25">
      <c r="A193" s="21">
        <v>40888</v>
      </c>
      <c r="B193">
        <v>34939.647400000002</v>
      </c>
    </row>
    <row r="194" spans="1:2" x14ac:dyDescent="0.25">
      <c r="A194" s="21">
        <v>40889</v>
      </c>
      <c r="B194">
        <v>27677.918799999999</v>
      </c>
    </row>
    <row r="195" spans="1:2" x14ac:dyDescent="0.25">
      <c r="A195" s="21">
        <v>40890</v>
      </c>
      <c r="B195">
        <v>8680.4804000000004</v>
      </c>
    </row>
    <row r="196" spans="1:2" x14ac:dyDescent="0.25">
      <c r="A196" s="21">
        <v>40891</v>
      </c>
      <c r="B196">
        <v>34994.897400000002</v>
      </c>
    </row>
    <row r="197" spans="1:2" x14ac:dyDescent="0.25">
      <c r="A197" s="21">
        <v>40892</v>
      </c>
      <c r="B197">
        <v>23625.561399999999</v>
      </c>
    </row>
    <row r="198" spans="1:2" x14ac:dyDescent="0.25">
      <c r="A198" s="21">
        <v>40893</v>
      </c>
      <c r="B198">
        <v>27256.294999999998</v>
      </c>
    </row>
    <row r="199" spans="1:2" x14ac:dyDescent="0.25">
      <c r="A199" s="21">
        <v>40894</v>
      </c>
      <c r="B199">
        <v>28028.798599999998</v>
      </c>
    </row>
    <row r="200" spans="1:2" x14ac:dyDescent="0.25">
      <c r="A200" s="21">
        <v>40895</v>
      </c>
      <c r="B200">
        <v>17360.960800000001</v>
      </c>
    </row>
    <row r="201" spans="1:2" x14ac:dyDescent="0.25">
      <c r="A201" s="21">
        <v>40896</v>
      </c>
      <c r="B201">
        <v>20542.445599999999</v>
      </c>
    </row>
    <row r="202" spans="1:2" x14ac:dyDescent="0.25">
      <c r="A202" s="21">
        <v>40897</v>
      </c>
      <c r="B202">
        <v>23723.930400000001</v>
      </c>
    </row>
    <row r="203" spans="1:2" x14ac:dyDescent="0.25">
      <c r="A203" s="21">
        <v>40898</v>
      </c>
      <c r="B203">
        <v>27283.919999999998</v>
      </c>
    </row>
    <row r="204" spans="1:2" x14ac:dyDescent="0.25">
      <c r="A204" s="21">
        <v>40899</v>
      </c>
      <c r="B204">
        <v>34967.272400000002</v>
      </c>
    </row>
    <row r="205" spans="1:2" x14ac:dyDescent="0.25">
      <c r="A205" s="21">
        <v>40900</v>
      </c>
      <c r="B205">
        <v>11861.965200000001</v>
      </c>
    </row>
    <row r="206" spans="1:2" x14ac:dyDescent="0.25">
      <c r="A206" s="21">
        <v>40901</v>
      </c>
      <c r="B206">
        <v>28253.422999999999</v>
      </c>
    </row>
    <row r="207" spans="1:2" x14ac:dyDescent="0.25">
      <c r="A207" s="21">
        <v>40902</v>
      </c>
      <c r="B207">
        <v>6271.4992000000002</v>
      </c>
    </row>
    <row r="208" spans="1:2" x14ac:dyDescent="0.25">
      <c r="A208" s="21">
        <v>40903</v>
      </c>
      <c r="B208">
        <v>19348.318200000002</v>
      </c>
    </row>
    <row r="209" spans="1:2" x14ac:dyDescent="0.25">
      <c r="A209" s="21">
        <v>40904</v>
      </c>
      <c r="B209">
        <v>16391.4578</v>
      </c>
    </row>
    <row r="210" spans="1:2" x14ac:dyDescent="0.25">
      <c r="A210" s="21">
        <v>40905</v>
      </c>
      <c r="B210">
        <v>17136.3364</v>
      </c>
    </row>
    <row r="211" spans="1:2" x14ac:dyDescent="0.25">
      <c r="A211" s="21">
        <v>40906</v>
      </c>
      <c r="B211">
        <v>12437.4694</v>
      </c>
    </row>
    <row r="212" spans="1:2" x14ac:dyDescent="0.25">
      <c r="A212" s="21">
        <v>40907</v>
      </c>
      <c r="B212">
        <v>29995.429599999999</v>
      </c>
    </row>
    <row r="213" spans="1:2" x14ac:dyDescent="0.25">
      <c r="A213" s="21">
        <v>40908</v>
      </c>
      <c r="B213">
        <v>24047.1852</v>
      </c>
    </row>
    <row r="214" spans="1:2" x14ac:dyDescent="0.25">
      <c r="A214" s="21">
        <v>40909</v>
      </c>
      <c r="B214">
        <v>2160994.6439999999</v>
      </c>
    </row>
    <row r="215" spans="1:2" x14ac:dyDescent="0.25">
      <c r="A215" s="21">
        <v>40910</v>
      </c>
      <c r="B215">
        <v>20542.445599999999</v>
      </c>
    </row>
    <row r="216" spans="1:2" x14ac:dyDescent="0.25">
      <c r="A216" s="21">
        <v>40911</v>
      </c>
      <c r="B216">
        <v>27453.294399999999</v>
      </c>
    </row>
    <row r="217" spans="1:2" x14ac:dyDescent="0.25">
      <c r="A217" s="21">
        <v>40912</v>
      </c>
      <c r="B217">
        <v>18133.464400000001</v>
      </c>
    </row>
    <row r="218" spans="1:2" x14ac:dyDescent="0.25">
      <c r="A218" s="21">
        <v>40913</v>
      </c>
      <c r="B218">
        <v>23077.682199999999</v>
      </c>
    </row>
    <row r="219" spans="1:2" x14ac:dyDescent="0.25">
      <c r="A219" s="21">
        <v>40914</v>
      </c>
      <c r="B219">
        <v>26616.945400000001</v>
      </c>
    </row>
    <row r="220" spans="1:2" x14ac:dyDescent="0.25">
      <c r="A220" s="21">
        <v>40915</v>
      </c>
      <c r="B220">
        <v>23302.3066</v>
      </c>
    </row>
    <row r="221" spans="1:2" x14ac:dyDescent="0.25">
      <c r="A221" s="21">
        <v>40916</v>
      </c>
      <c r="B221">
        <v>15591.3292</v>
      </c>
    </row>
    <row r="222" spans="1:2" x14ac:dyDescent="0.25">
      <c r="A222" s="21">
        <v>40917</v>
      </c>
      <c r="B222">
        <v>11861.965200000001</v>
      </c>
    </row>
    <row r="223" spans="1:2" x14ac:dyDescent="0.25">
      <c r="A223" s="21">
        <v>40918</v>
      </c>
      <c r="B223">
        <v>39118.260199999997</v>
      </c>
    </row>
    <row r="224" spans="1:2" x14ac:dyDescent="0.25">
      <c r="A224" s="21">
        <v>40919</v>
      </c>
      <c r="B224">
        <v>44266.375999999997</v>
      </c>
    </row>
    <row r="225" spans="1:2" x14ac:dyDescent="0.25">
      <c r="A225" s="21">
        <v>40920</v>
      </c>
      <c r="B225">
        <v>11637.3408</v>
      </c>
    </row>
    <row r="226" spans="1:2" x14ac:dyDescent="0.25">
      <c r="A226" s="21">
        <v>40921</v>
      </c>
      <c r="B226">
        <v>27256.294999999998</v>
      </c>
    </row>
    <row r="227" spans="1:2" x14ac:dyDescent="0.25">
      <c r="A227" s="21">
        <v>40922</v>
      </c>
      <c r="B227">
        <v>25268.937600000001</v>
      </c>
    </row>
    <row r="228" spans="1:2" x14ac:dyDescent="0.25">
      <c r="A228" s="21">
        <v>40923</v>
      </c>
      <c r="B228">
        <v>23723.930400000001</v>
      </c>
    </row>
    <row r="229" spans="1:2" x14ac:dyDescent="0.25">
      <c r="A229" s="21">
        <v>40924</v>
      </c>
      <c r="B229">
        <v>8483.4809999999998</v>
      </c>
    </row>
    <row r="230" spans="1:2" x14ac:dyDescent="0.25">
      <c r="A230" s="21">
        <v>40925</v>
      </c>
      <c r="B230">
        <v>15815.953600000001</v>
      </c>
    </row>
    <row r="231" spans="1:2" x14ac:dyDescent="0.25">
      <c r="A231" s="21">
        <v>40926</v>
      </c>
      <c r="B231">
        <v>7907.9768000000004</v>
      </c>
    </row>
    <row r="232" spans="1:2" x14ac:dyDescent="0.25">
      <c r="A232" s="21">
        <v>40927</v>
      </c>
      <c r="B232">
        <v>20542.445599999999</v>
      </c>
    </row>
    <row r="233" spans="1:2" x14ac:dyDescent="0.25">
      <c r="A233" s="21">
        <v>40928</v>
      </c>
      <c r="B233">
        <v>16588.457200000001</v>
      </c>
    </row>
    <row r="234" spans="1:2" x14ac:dyDescent="0.25">
      <c r="A234" s="21">
        <v>40929</v>
      </c>
      <c r="B234">
        <v>3953.9884000000002</v>
      </c>
    </row>
    <row r="235" spans="1:2" x14ac:dyDescent="0.25">
      <c r="A235" s="21">
        <v>40930</v>
      </c>
      <c r="B235">
        <v>39118.260199999997</v>
      </c>
    </row>
    <row r="236" spans="1:2" x14ac:dyDescent="0.25">
      <c r="A236" s="21">
        <v>40931</v>
      </c>
      <c r="B236">
        <v>19769.941999999999</v>
      </c>
    </row>
    <row r="237" spans="1:2" x14ac:dyDescent="0.25">
      <c r="A237" s="21">
        <v>40932</v>
      </c>
      <c r="B237">
        <v>32404.410800000001</v>
      </c>
    </row>
    <row r="238" spans="1:2" x14ac:dyDescent="0.25">
      <c r="A238" s="21">
        <v>40933</v>
      </c>
      <c r="B238">
        <v>10225.4876</v>
      </c>
    </row>
    <row r="239" spans="1:2" x14ac:dyDescent="0.25">
      <c r="A239" s="21">
        <v>40934</v>
      </c>
      <c r="B239">
        <v>44041.751600000003</v>
      </c>
    </row>
    <row r="240" spans="1:2" x14ac:dyDescent="0.25">
      <c r="A240" s="21">
        <v>40935</v>
      </c>
      <c r="B240">
        <v>11861.965200000001</v>
      </c>
    </row>
    <row r="241" spans="1:2" x14ac:dyDescent="0.25">
      <c r="A241" s="21">
        <v>40936</v>
      </c>
      <c r="B241">
        <v>19545.317599999998</v>
      </c>
    </row>
    <row r="242" spans="1:2" x14ac:dyDescent="0.25">
      <c r="A242" s="21">
        <v>40937</v>
      </c>
      <c r="B242">
        <v>1659116.5384</v>
      </c>
    </row>
    <row r="243" spans="1:2" x14ac:dyDescent="0.25">
      <c r="A243" s="21">
        <v>40938</v>
      </c>
      <c r="B243">
        <v>24299.434600000001</v>
      </c>
    </row>
    <row r="244" spans="1:2" x14ac:dyDescent="0.25">
      <c r="A244" s="21">
        <v>40939</v>
      </c>
      <c r="B244">
        <v>25816.816800000001</v>
      </c>
    </row>
    <row r="245" spans="1:2" x14ac:dyDescent="0.25">
      <c r="A245" s="21">
        <v>40940</v>
      </c>
      <c r="B245">
        <v>28225.797999999999</v>
      </c>
    </row>
    <row r="246" spans="1:2" x14ac:dyDescent="0.25">
      <c r="A246" s="21">
        <v>40941</v>
      </c>
      <c r="B246">
        <v>11861.965200000001</v>
      </c>
    </row>
    <row r="247" spans="1:2" x14ac:dyDescent="0.25">
      <c r="A247" s="21">
        <v>40942</v>
      </c>
      <c r="B247">
        <v>32207.411400000001</v>
      </c>
    </row>
    <row r="248" spans="1:2" x14ac:dyDescent="0.25">
      <c r="A248" s="21">
        <v>40943</v>
      </c>
      <c r="B248">
        <v>31785.7876</v>
      </c>
    </row>
    <row r="249" spans="1:2" x14ac:dyDescent="0.25">
      <c r="A249" s="21">
        <v>40944</v>
      </c>
      <c r="B249">
        <v>15366.7048</v>
      </c>
    </row>
    <row r="250" spans="1:2" x14ac:dyDescent="0.25">
      <c r="A250" s="21">
        <v>40945</v>
      </c>
      <c r="B250">
        <v>20542.445599999999</v>
      </c>
    </row>
    <row r="251" spans="1:2" x14ac:dyDescent="0.25">
      <c r="A251" s="21">
        <v>40946</v>
      </c>
      <c r="B251">
        <v>7907.9768000000004</v>
      </c>
    </row>
    <row r="252" spans="1:2" x14ac:dyDescent="0.25">
      <c r="A252" s="21">
        <v>40947</v>
      </c>
      <c r="B252">
        <v>23077.682199999999</v>
      </c>
    </row>
    <row r="253" spans="1:2" x14ac:dyDescent="0.25">
      <c r="A253" s="21">
        <v>40948</v>
      </c>
      <c r="B253">
        <v>16391.4578</v>
      </c>
    </row>
    <row r="254" spans="1:2" x14ac:dyDescent="0.25">
      <c r="A254" s="21">
        <v>40949</v>
      </c>
      <c r="B254">
        <v>35487.526599999997</v>
      </c>
    </row>
    <row r="255" spans="1:2" x14ac:dyDescent="0.25">
      <c r="A255" s="21">
        <v>40950</v>
      </c>
      <c r="B255">
        <v>12437.4694</v>
      </c>
    </row>
    <row r="256" spans="1:2" x14ac:dyDescent="0.25">
      <c r="A256" s="21">
        <v>40951</v>
      </c>
      <c r="B256">
        <v>32727.6656</v>
      </c>
    </row>
    <row r="257" spans="1:2" x14ac:dyDescent="0.25">
      <c r="A257" s="21">
        <v>40952</v>
      </c>
      <c r="B257">
        <v>19769.941999999999</v>
      </c>
    </row>
    <row r="258" spans="1:2" x14ac:dyDescent="0.25">
      <c r="A258" s="21">
        <v>40953</v>
      </c>
      <c r="B258">
        <v>28434.928400000001</v>
      </c>
    </row>
    <row r="259" spans="1:2" x14ac:dyDescent="0.25">
      <c r="A259" s="21">
        <v>40954</v>
      </c>
      <c r="B259">
        <v>25268.937600000001</v>
      </c>
    </row>
    <row r="260" spans="1:2" x14ac:dyDescent="0.25">
      <c r="A260" s="21">
        <v>40955</v>
      </c>
      <c r="B260">
        <v>12634.468800000001</v>
      </c>
    </row>
    <row r="261" spans="1:2" x14ac:dyDescent="0.25">
      <c r="A261" s="21">
        <v>40956</v>
      </c>
      <c r="B261">
        <v>35191.896800000002</v>
      </c>
    </row>
    <row r="262" spans="1:2" x14ac:dyDescent="0.25">
      <c r="A262" s="21">
        <v>40957</v>
      </c>
      <c r="B262">
        <v>15815.953600000001</v>
      </c>
    </row>
    <row r="263" spans="1:2" x14ac:dyDescent="0.25">
      <c r="A263" s="21">
        <v>40958</v>
      </c>
      <c r="B263">
        <v>23077.682199999999</v>
      </c>
    </row>
    <row r="264" spans="1:2" x14ac:dyDescent="0.25">
      <c r="A264" s="21">
        <v>40959</v>
      </c>
      <c r="B264">
        <v>19545.317599999998</v>
      </c>
    </row>
    <row r="265" spans="1:2" x14ac:dyDescent="0.25">
      <c r="A265" s="21">
        <v>40960</v>
      </c>
      <c r="B265">
        <v>46801.6126</v>
      </c>
    </row>
    <row r="266" spans="1:2" x14ac:dyDescent="0.25">
      <c r="A266" s="21">
        <v>40961</v>
      </c>
      <c r="B266">
        <v>19545.317599999998</v>
      </c>
    </row>
    <row r="267" spans="1:2" x14ac:dyDescent="0.25">
      <c r="A267" s="21">
        <v>40962</v>
      </c>
      <c r="B267">
        <v>29025.926599999999</v>
      </c>
    </row>
    <row r="268" spans="1:2" x14ac:dyDescent="0.25">
      <c r="A268" s="21">
        <v>40963</v>
      </c>
      <c r="B268">
        <v>11861.965200000001</v>
      </c>
    </row>
    <row r="269" spans="1:2" x14ac:dyDescent="0.25">
      <c r="A269" s="21">
        <v>40964</v>
      </c>
      <c r="B269">
        <v>31631.907200000001</v>
      </c>
    </row>
    <row r="270" spans="1:2" x14ac:dyDescent="0.25">
      <c r="A270" s="21">
        <v>40965</v>
      </c>
      <c r="B270">
        <v>23499.306</v>
      </c>
    </row>
    <row r="271" spans="1:2" x14ac:dyDescent="0.25">
      <c r="A271" s="21">
        <v>40966</v>
      </c>
      <c r="B271">
        <v>15815.953600000001</v>
      </c>
    </row>
    <row r="272" spans="1:2" x14ac:dyDescent="0.25">
      <c r="A272" s="21">
        <v>40967</v>
      </c>
      <c r="B272">
        <v>15394.3298</v>
      </c>
    </row>
    <row r="273" spans="1:2" x14ac:dyDescent="0.25">
      <c r="A273" s="21">
        <v>40968</v>
      </c>
      <c r="B273">
        <v>1007716.5635</v>
      </c>
    </row>
    <row r="274" spans="1:2" x14ac:dyDescent="0.25">
      <c r="A274" s="21">
        <v>40969</v>
      </c>
      <c r="B274">
        <v>11664.9658</v>
      </c>
    </row>
    <row r="275" spans="1:2" x14ac:dyDescent="0.25">
      <c r="A275" s="21">
        <v>40970</v>
      </c>
      <c r="B275">
        <v>32179.786400000001</v>
      </c>
    </row>
    <row r="276" spans="1:2" x14ac:dyDescent="0.25">
      <c r="A276" s="21">
        <v>40971</v>
      </c>
      <c r="B276">
        <v>27228.67</v>
      </c>
    </row>
    <row r="277" spans="1:2" x14ac:dyDescent="0.25">
      <c r="A277" s="21">
        <v>40972</v>
      </c>
      <c r="B277">
        <v>19545.317599999998</v>
      </c>
    </row>
    <row r="278" spans="1:2" x14ac:dyDescent="0.25">
      <c r="A278" s="21">
        <v>40973</v>
      </c>
      <c r="B278">
        <v>16391.4578</v>
      </c>
    </row>
    <row r="279" spans="1:2" x14ac:dyDescent="0.25">
      <c r="A279" s="21">
        <v>40974</v>
      </c>
      <c r="B279">
        <v>28773.677199999998</v>
      </c>
    </row>
    <row r="280" spans="1:2" x14ac:dyDescent="0.25">
      <c r="A280" s="21">
        <v>40975</v>
      </c>
      <c r="B280">
        <v>11861.965200000001</v>
      </c>
    </row>
    <row r="281" spans="1:2" x14ac:dyDescent="0.25">
      <c r="A281" s="21">
        <v>40976</v>
      </c>
      <c r="B281">
        <v>19769.941999999999</v>
      </c>
    </row>
    <row r="282" spans="1:2" x14ac:dyDescent="0.25">
      <c r="A282" s="21">
        <v>40977</v>
      </c>
      <c r="B282">
        <v>16363.8328</v>
      </c>
    </row>
    <row r="283" spans="1:2" x14ac:dyDescent="0.25">
      <c r="A283" s="21">
        <v>40978</v>
      </c>
      <c r="B283">
        <v>23077.682199999999</v>
      </c>
    </row>
    <row r="284" spans="1:2" x14ac:dyDescent="0.25">
      <c r="A284" s="21">
        <v>40979</v>
      </c>
      <c r="B284">
        <v>40635.642399999997</v>
      </c>
    </row>
    <row r="285" spans="1:2" x14ac:dyDescent="0.25">
      <c r="A285" s="21">
        <v>40980</v>
      </c>
      <c r="B285">
        <v>15394.3298</v>
      </c>
    </row>
    <row r="286" spans="1:2" x14ac:dyDescent="0.25">
      <c r="A286" s="21">
        <v>40981</v>
      </c>
      <c r="B286">
        <v>8680.4804000000004</v>
      </c>
    </row>
    <row r="287" spans="1:2" x14ac:dyDescent="0.25">
      <c r="A287" s="21">
        <v>40982</v>
      </c>
      <c r="B287">
        <v>50980.225400000003</v>
      </c>
    </row>
    <row r="288" spans="1:2" x14ac:dyDescent="0.25">
      <c r="A288" s="21">
        <v>40983</v>
      </c>
      <c r="B288">
        <v>26862.296200000001</v>
      </c>
    </row>
    <row r="289" spans="1:2" x14ac:dyDescent="0.25">
      <c r="A289" s="21">
        <v>40984</v>
      </c>
      <c r="B289">
        <v>35191.896800000002</v>
      </c>
    </row>
    <row r="290" spans="1:2" x14ac:dyDescent="0.25">
      <c r="A290" s="21">
        <v>40985</v>
      </c>
      <c r="B290">
        <v>24496.434000000001</v>
      </c>
    </row>
    <row r="291" spans="1:2" x14ac:dyDescent="0.25">
      <c r="A291" s="21">
        <v>40986</v>
      </c>
      <c r="B291">
        <v>12409.8444</v>
      </c>
    </row>
    <row r="292" spans="1:2" x14ac:dyDescent="0.25">
      <c r="A292" s="21">
        <v>40987</v>
      </c>
      <c r="B292">
        <v>36681.654000000002</v>
      </c>
    </row>
    <row r="293" spans="1:2" x14ac:dyDescent="0.25">
      <c r="A293" s="21">
        <v>40988</v>
      </c>
      <c r="B293">
        <v>16166.8334</v>
      </c>
    </row>
    <row r="294" spans="1:2" x14ac:dyDescent="0.25">
      <c r="A294" s="21">
        <v>40989</v>
      </c>
      <c r="B294">
        <v>15618.9542</v>
      </c>
    </row>
    <row r="295" spans="1:2" x14ac:dyDescent="0.25">
      <c r="A295" s="21">
        <v>40990</v>
      </c>
      <c r="B295">
        <v>36161.399799999999</v>
      </c>
    </row>
    <row r="296" spans="1:2" x14ac:dyDescent="0.25">
      <c r="A296" s="21">
        <v>40991</v>
      </c>
      <c r="B296">
        <v>12409.8444</v>
      </c>
    </row>
    <row r="297" spans="1:2" x14ac:dyDescent="0.25">
      <c r="A297" s="21">
        <v>40992</v>
      </c>
      <c r="B297">
        <v>24650.314399999999</v>
      </c>
    </row>
    <row r="298" spans="1:2" x14ac:dyDescent="0.25">
      <c r="A298" s="21">
        <v>40993</v>
      </c>
      <c r="B298">
        <v>15815.953600000001</v>
      </c>
    </row>
    <row r="299" spans="1:2" x14ac:dyDescent="0.25">
      <c r="A299" s="21">
        <v>40994</v>
      </c>
      <c r="B299">
        <v>35361.271200000003</v>
      </c>
    </row>
    <row r="300" spans="1:2" x14ac:dyDescent="0.25">
      <c r="A300" s="21">
        <v>40995</v>
      </c>
      <c r="B300">
        <v>18133.464400000001</v>
      </c>
    </row>
    <row r="301" spans="1:2" x14ac:dyDescent="0.25">
      <c r="A301" s="21">
        <v>40996</v>
      </c>
      <c r="B301">
        <v>43072.248599999999</v>
      </c>
    </row>
    <row r="302" spans="1:2" x14ac:dyDescent="0.25">
      <c r="A302" s="21">
        <v>40997</v>
      </c>
      <c r="B302">
        <v>44392.631399999998</v>
      </c>
    </row>
    <row r="303" spans="1:2" x14ac:dyDescent="0.25">
      <c r="A303" s="21">
        <v>40998</v>
      </c>
      <c r="B303">
        <v>2596604.5137999998</v>
      </c>
    </row>
    <row r="304" spans="1:2" x14ac:dyDescent="0.25">
      <c r="A304" s="21">
        <v>40999</v>
      </c>
      <c r="B304">
        <v>19769.941999999999</v>
      </c>
    </row>
    <row r="305" spans="1:2" x14ac:dyDescent="0.25">
      <c r="A305" s="21">
        <v>41000</v>
      </c>
      <c r="B305">
        <v>13406.972400000001</v>
      </c>
    </row>
    <row r="306" spans="1:2" x14ac:dyDescent="0.25">
      <c r="A306" s="21">
        <v>41001</v>
      </c>
      <c r="B306">
        <v>43072.248599999999</v>
      </c>
    </row>
    <row r="307" spans="1:2" x14ac:dyDescent="0.25">
      <c r="A307" s="21">
        <v>41002</v>
      </c>
      <c r="B307">
        <v>12985.348599999999</v>
      </c>
    </row>
    <row r="308" spans="1:2" x14ac:dyDescent="0.25">
      <c r="A308" s="21">
        <v>41003</v>
      </c>
      <c r="B308">
        <v>25395.192999999999</v>
      </c>
    </row>
    <row r="309" spans="1:2" x14ac:dyDescent="0.25">
      <c r="A309" s="21">
        <v>41004</v>
      </c>
      <c r="B309">
        <v>16166.8334</v>
      </c>
    </row>
    <row r="310" spans="1:2" x14ac:dyDescent="0.25">
      <c r="A310" s="21">
        <v>41005</v>
      </c>
      <c r="B310">
        <v>35936.775399999999</v>
      </c>
    </row>
    <row r="311" spans="1:2" x14ac:dyDescent="0.25">
      <c r="A311" s="21">
        <v>41006</v>
      </c>
      <c r="B311">
        <v>23499.306</v>
      </c>
    </row>
    <row r="312" spans="1:2" x14ac:dyDescent="0.25">
      <c r="A312" s="21">
        <v>41007</v>
      </c>
      <c r="B312">
        <v>8455.8559999999998</v>
      </c>
    </row>
    <row r="313" spans="1:2" x14ac:dyDescent="0.25">
      <c r="A313" s="21">
        <v>41008</v>
      </c>
      <c r="B313">
        <v>15394.3298</v>
      </c>
    </row>
    <row r="314" spans="1:2" x14ac:dyDescent="0.25">
      <c r="A314" s="21">
        <v>41009</v>
      </c>
      <c r="B314">
        <v>35361.271200000003</v>
      </c>
    </row>
    <row r="315" spans="1:2" x14ac:dyDescent="0.25">
      <c r="A315" s="21">
        <v>41010</v>
      </c>
      <c r="B315">
        <v>44223.256999999998</v>
      </c>
    </row>
    <row r="316" spans="1:2" x14ac:dyDescent="0.25">
      <c r="A316" s="21">
        <v>41011</v>
      </c>
      <c r="B316">
        <v>23274.6816</v>
      </c>
    </row>
    <row r="317" spans="1:2" x14ac:dyDescent="0.25">
      <c r="A317" s="21">
        <v>41012</v>
      </c>
      <c r="B317">
        <v>24496.434000000001</v>
      </c>
    </row>
    <row r="318" spans="1:2" x14ac:dyDescent="0.25">
      <c r="A318" s="21">
        <v>41013</v>
      </c>
      <c r="B318">
        <v>33500.169199999997</v>
      </c>
    </row>
    <row r="319" spans="1:2" x14ac:dyDescent="0.25">
      <c r="A319" s="21">
        <v>41014</v>
      </c>
      <c r="B319">
        <v>34967.272400000002</v>
      </c>
    </row>
    <row r="320" spans="1:2" x14ac:dyDescent="0.25">
      <c r="A320" s="21">
        <v>41015</v>
      </c>
      <c r="B320">
        <v>31434.907800000001</v>
      </c>
    </row>
    <row r="321" spans="1:2" x14ac:dyDescent="0.25">
      <c r="A321" s="21">
        <v>41016</v>
      </c>
      <c r="B321">
        <v>16939.337</v>
      </c>
    </row>
    <row r="322" spans="1:2" x14ac:dyDescent="0.25">
      <c r="A322" s="21">
        <v>41017</v>
      </c>
      <c r="B322">
        <v>23526.931</v>
      </c>
    </row>
    <row r="323" spans="1:2" x14ac:dyDescent="0.25">
      <c r="A323" s="21">
        <v>41018</v>
      </c>
      <c r="B323">
        <v>23499.306</v>
      </c>
    </row>
    <row r="324" spans="1:2" x14ac:dyDescent="0.25">
      <c r="A324" s="21">
        <v>41019</v>
      </c>
      <c r="B324">
        <v>23499.306</v>
      </c>
    </row>
    <row r="325" spans="1:2" x14ac:dyDescent="0.25">
      <c r="A325" s="21">
        <v>41020</v>
      </c>
      <c r="B325">
        <v>27228.67</v>
      </c>
    </row>
    <row r="326" spans="1:2" x14ac:dyDescent="0.25">
      <c r="A326" s="21">
        <v>41021</v>
      </c>
      <c r="B326">
        <v>25225.818599999999</v>
      </c>
    </row>
    <row r="327" spans="1:2" x14ac:dyDescent="0.25">
      <c r="A327" s="21">
        <v>41022</v>
      </c>
      <c r="B327">
        <v>31982.787</v>
      </c>
    </row>
    <row r="328" spans="1:2" x14ac:dyDescent="0.25">
      <c r="A328" s="21">
        <v>41023</v>
      </c>
      <c r="B328">
        <v>20542.445599999999</v>
      </c>
    </row>
    <row r="329" spans="1:2" x14ac:dyDescent="0.25">
      <c r="A329" s="21">
        <v>41024</v>
      </c>
      <c r="B329">
        <v>16363.8328</v>
      </c>
    </row>
    <row r="330" spans="1:2" x14ac:dyDescent="0.25">
      <c r="A330" s="21">
        <v>41025</v>
      </c>
      <c r="B330">
        <v>16363.8328</v>
      </c>
    </row>
    <row r="331" spans="1:2" x14ac:dyDescent="0.25">
      <c r="A331" s="21">
        <v>41026</v>
      </c>
      <c r="B331">
        <v>3953.9884000000002</v>
      </c>
    </row>
    <row r="332" spans="1:2" x14ac:dyDescent="0.25">
      <c r="A332" s="21">
        <v>41027</v>
      </c>
      <c r="B332">
        <v>24271.809600000001</v>
      </c>
    </row>
    <row r="333" spans="1:2" x14ac:dyDescent="0.25">
      <c r="A333" s="21">
        <v>41028</v>
      </c>
      <c r="B333">
        <v>8455.8559999999998</v>
      </c>
    </row>
    <row r="334" spans="1:2" x14ac:dyDescent="0.25">
      <c r="A334" s="21">
        <v>41029</v>
      </c>
      <c r="B334">
        <v>1188498.7267</v>
      </c>
    </row>
    <row r="335" spans="1:2" x14ac:dyDescent="0.25">
      <c r="A335" s="21">
        <v>41030</v>
      </c>
      <c r="B335">
        <v>44069.376600000003</v>
      </c>
    </row>
    <row r="336" spans="1:2" x14ac:dyDescent="0.25">
      <c r="A336" s="21">
        <v>41031</v>
      </c>
      <c r="B336">
        <v>8455.8559999999998</v>
      </c>
    </row>
    <row r="337" spans="1:2" x14ac:dyDescent="0.25">
      <c r="A337" s="21">
        <v>41032</v>
      </c>
      <c r="B337">
        <v>24074.8102</v>
      </c>
    </row>
    <row r="338" spans="1:2" x14ac:dyDescent="0.25">
      <c r="A338" s="21">
        <v>41033</v>
      </c>
      <c r="B338">
        <v>20345.446199999998</v>
      </c>
    </row>
    <row r="339" spans="1:2" x14ac:dyDescent="0.25">
      <c r="A339" s="21">
        <v>41034</v>
      </c>
      <c r="B339">
        <v>27256.294999999998</v>
      </c>
    </row>
    <row r="340" spans="1:2" x14ac:dyDescent="0.25">
      <c r="A340" s="21">
        <v>41035</v>
      </c>
      <c r="B340">
        <v>27831.799200000001</v>
      </c>
    </row>
    <row r="341" spans="1:2" x14ac:dyDescent="0.25">
      <c r="A341" s="21">
        <v>41036</v>
      </c>
      <c r="B341">
        <v>31407.282800000001</v>
      </c>
    </row>
    <row r="342" spans="1:2" x14ac:dyDescent="0.25">
      <c r="A342" s="21">
        <v>41037</v>
      </c>
      <c r="B342">
        <v>19375.943200000002</v>
      </c>
    </row>
    <row r="343" spans="1:2" x14ac:dyDescent="0.25">
      <c r="A343" s="21">
        <v>41038</v>
      </c>
      <c r="B343">
        <v>28028.798599999998</v>
      </c>
    </row>
    <row r="344" spans="1:2" x14ac:dyDescent="0.25">
      <c r="A344" s="21">
        <v>41039</v>
      </c>
      <c r="B344">
        <v>19572.942599999998</v>
      </c>
    </row>
    <row r="345" spans="1:2" x14ac:dyDescent="0.25">
      <c r="A345" s="21">
        <v>41040</v>
      </c>
      <c r="B345">
        <v>37481.782599999999</v>
      </c>
    </row>
    <row r="346" spans="1:2" x14ac:dyDescent="0.25">
      <c r="A346" s="21">
        <v>41041</v>
      </c>
      <c r="B346">
        <v>9031.3601999999992</v>
      </c>
    </row>
    <row r="347" spans="1:2" x14ac:dyDescent="0.25">
      <c r="A347" s="21">
        <v>41042</v>
      </c>
      <c r="B347">
        <v>15421.9548</v>
      </c>
    </row>
    <row r="348" spans="1:2" x14ac:dyDescent="0.25">
      <c r="A348" s="21">
        <v>41043</v>
      </c>
      <c r="B348">
        <v>17360.960800000001</v>
      </c>
    </row>
    <row r="349" spans="1:2" x14ac:dyDescent="0.25">
      <c r="A349" s="21">
        <v>41044</v>
      </c>
      <c r="B349">
        <v>7907.9768000000004</v>
      </c>
    </row>
    <row r="350" spans="1:2" x14ac:dyDescent="0.25">
      <c r="A350" s="21">
        <v>41045</v>
      </c>
      <c r="B350">
        <v>20542.445599999999</v>
      </c>
    </row>
    <row r="351" spans="1:2" x14ac:dyDescent="0.25">
      <c r="A351" s="21">
        <v>41046</v>
      </c>
      <c r="B351">
        <v>30346.309399999998</v>
      </c>
    </row>
    <row r="352" spans="1:2" x14ac:dyDescent="0.25">
      <c r="A352" s="21">
        <v>41047</v>
      </c>
      <c r="B352">
        <v>44589.630799999999</v>
      </c>
    </row>
    <row r="353" spans="1:2" x14ac:dyDescent="0.25">
      <c r="A353" s="21">
        <v>41048</v>
      </c>
      <c r="B353">
        <v>24074.8102</v>
      </c>
    </row>
    <row r="354" spans="1:2" x14ac:dyDescent="0.25">
      <c r="A354" s="21">
        <v>41049</v>
      </c>
      <c r="B354">
        <v>32179.786400000001</v>
      </c>
    </row>
    <row r="355" spans="1:2" x14ac:dyDescent="0.25">
      <c r="A355" s="21">
        <v>41050</v>
      </c>
      <c r="B355">
        <v>19572.942599999998</v>
      </c>
    </row>
    <row r="356" spans="1:2" x14ac:dyDescent="0.25">
      <c r="A356" s="21">
        <v>41051</v>
      </c>
      <c r="B356">
        <v>48922.124000000003</v>
      </c>
    </row>
    <row r="357" spans="1:2" x14ac:dyDescent="0.25">
      <c r="A357" s="21">
        <v>41052</v>
      </c>
      <c r="B357">
        <v>24299.434600000001</v>
      </c>
    </row>
    <row r="358" spans="1:2" x14ac:dyDescent="0.25">
      <c r="A358" s="21">
        <v>41053</v>
      </c>
      <c r="B358">
        <v>19572.942599999998</v>
      </c>
    </row>
    <row r="359" spans="1:2" x14ac:dyDescent="0.25">
      <c r="A359" s="21">
        <v>41054</v>
      </c>
      <c r="B359">
        <v>27228.67</v>
      </c>
    </row>
    <row r="360" spans="1:2" x14ac:dyDescent="0.25">
      <c r="A360" s="21">
        <v>41055</v>
      </c>
      <c r="B360">
        <v>35361.271200000003</v>
      </c>
    </row>
    <row r="361" spans="1:2" x14ac:dyDescent="0.25">
      <c r="A361" s="21">
        <v>41056</v>
      </c>
      <c r="B361">
        <v>16363.8328</v>
      </c>
    </row>
    <row r="362" spans="1:2" x14ac:dyDescent="0.25">
      <c r="A362" s="21">
        <v>41057</v>
      </c>
      <c r="B362">
        <v>31182.6584</v>
      </c>
    </row>
    <row r="363" spans="1:2" x14ac:dyDescent="0.25">
      <c r="A363" s="21">
        <v>41058</v>
      </c>
      <c r="B363">
        <v>20148.446800000002</v>
      </c>
    </row>
    <row r="364" spans="1:2" x14ac:dyDescent="0.25">
      <c r="A364" s="21">
        <v>41059</v>
      </c>
      <c r="B364">
        <v>2716535.2486999999</v>
      </c>
    </row>
    <row r="365" spans="1:2" x14ac:dyDescent="0.25">
      <c r="A365" s="21">
        <v>41060</v>
      </c>
      <c r="B365">
        <v>4381.3140000000003</v>
      </c>
    </row>
    <row r="366" spans="1:2" x14ac:dyDescent="0.25">
      <c r="A366" s="21">
        <v>41061</v>
      </c>
      <c r="B366">
        <v>31382.001400000001</v>
      </c>
    </row>
    <row r="367" spans="1:2" x14ac:dyDescent="0.25">
      <c r="A367" s="21">
        <v>41062</v>
      </c>
      <c r="B367">
        <v>18045.768700000001</v>
      </c>
    </row>
    <row r="368" spans="1:2" x14ac:dyDescent="0.25">
      <c r="A368" s="21">
        <v>41063</v>
      </c>
      <c r="B368">
        <v>23400.8675</v>
      </c>
    </row>
    <row r="369" spans="1:2" x14ac:dyDescent="0.25">
      <c r="A369" s="21">
        <v>41064</v>
      </c>
      <c r="B369">
        <v>24819.9568</v>
      </c>
    </row>
    <row r="370" spans="1:2" x14ac:dyDescent="0.25">
      <c r="A370" s="21">
        <v>41065</v>
      </c>
      <c r="B370">
        <v>19976.042300000001</v>
      </c>
    </row>
    <row r="371" spans="1:2" x14ac:dyDescent="0.25">
      <c r="A371" s="21">
        <v>41066</v>
      </c>
      <c r="B371">
        <v>14895.937</v>
      </c>
    </row>
    <row r="372" spans="1:2" x14ac:dyDescent="0.25">
      <c r="A372" s="21">
        <v>41067</v>
      </c>
      <c r="B372">
        <v>12217.229499999999</v>
      </c>
    </row>
    <row r="373" spans="1:2" x14ac:dyDescent="0.25">
      <c r="A373" s="21">
        <v>41068</v>
      </c>
      <c r="B373">
        <v>10932.975200000001</v>
      </c>
    </row>
    <row r="374" spans="1:2" x14ac:dyDescent="0.25">
      <c r="A374" s="21">
        <v>41069</v>
      </c>
      <c r="B374">
        <v>21845.0615</v>
      </c>
    </row>
    <row r="375" spans="1:2" x14ac:dyDescent="0.25">
      <c r="A375" s="21">
        <v>41070</v>
      </c>
      <c r="B375">
        <v>19306.2071</v>
      </c>
    </row>
    <row r="376" spans="1:2" x14ac:dyDescent="0.25">
      <c r="A376" s="21">
        <v>41071</v>
      </c>
      <c r="B376">
        <v>25325.177299999999</v>
      </c>
    </row>
    <row r="377" spans="1:2" x14ac:dyDescent="0.25">
      <c r="A377" s="21">
        <v>41072</v>
      </c>
      <c r="B377">
        <v>24245.697400000001</v>
      </c>
    </row>
    <row r="378" spans="1:2" x14ac:dyDescent="0.25">
      <c r="A378" s="21">
        <v>41073</v>
      </c>
      <c r="B378">
        <v>8675.6342000000004</v>
      </c>
    </row>
    <row r="379" spans="1:2" x14ac:dyDescent="0.25">
      <c r="A379" s="21">
        <v>41074</v>
      </c>
      <c r="B379">
        <v>12939.531300000001</v>
      </c>
    </row>
    <row r="380" spans="1:2" x14ac:dyDescent="0.25">
      <c r="A380" s="21">
        <v>41075</v>
      </c>
      <c r="B380">
        <v>27841.560700000002</v>
      </c>
    </row>
    <row r="381" spans="1:2" x14ac:dyDescent="0.25">
      <c r="A381" s="21">
        <v>41076</v>
      </c>
      <c r="B381">
        <v>12088.609</v>
      </c>
    </row>
    <row r="382" spans="1:2" x14ac:dyDescent="0.25">
      <c r="A382" s="21">
        <v>41077</v>
      </c>
      <c r="B382">
        <v>16769.581600000001</v>
      </c>
    </row>
    <row r="383" spans="1:2" x14ac:dyDescent="0.25">
      <c r="A383" s="21">
        <v>41078</v>
      </c>
      <c r="B383">
        <v>21398.6024</v>
      </c>
    </row>
    <row r="384" spans="1:2" x14ac:dyDescent="0.25">
      <c r="A384" s="21">
        <v>41079</v>
      </c>
      <c r="B384">
        <v>23135.922999999999</v>
      </c>
    </row>
    <row r="385" spans="1:2" x14ac:dyDescent="0.25">
      <c r="A385" s="21">
        <v>41080</v>
      </c>
      <c r="B385">
        <v>17742.211800000001</v>
      </c>
    </row>
    <row r="386" spans="1:2" x14ac:dyDescent="0.25">
      <c r="A386" s="21">
        <v>41081</v>
      </c>
      <c r="B386">
        <v>17160.190600000002</v>
      </c>
    </row>
    <row r="387" spans="1:2" x14ac:dyDescent="0.25">
      <c r="A387" s="21">
        <v>41082</v>
      </c>
      <c r="B387">
        <v>12432.0236</v>
      </c>
    </row>
    <row r="388" spans="1:2" x14ac:dyDescent="0.25">
      <c r="A388" s="21">
        <v>41083</v>
      </c>
      <c r="B388">
        <v>18793.555799999998</v>
      </c>
    </row>
    <row r="389" spans="1:2" x14ac:dyDescent="0.25">
      <c r="A389" s="21">
        <v>41084</v>
      </c>
      <c r="B389">
        <v>10650.6126</v>
      </c>
    </row>
    <row r="390" spans="1:2" x14ac:dyDescent="0.25">
      <c r="A390" s="21">
        <v>41085</v>
      </c>
      <c r="B390">
        <v>20913.237799999999</v>
      </c>
    </row>
    <row r="391" spans="1:2" x14ac:dyDescent="0.25">
      <c r="A391" s="21">
        <v>41086</v>
      </c>
      <c r="B391">
        <v>10626.2819</v>
      </c>
    </row>
    <row r="392" spans="1:2" x14ac:dyDescent="0.25">
      <c r="A392" s="21">
        <v>41087</v>
      </c>
      <c r="B392">
        <v>14026.441999999999</v>
      </c>
    </row>
    <row r="393" spans="1:2" x14ac:dyDescent="0.25">
      <c r="A393" s="21">
        <v>41088</v>
      </c>
      <c r="B393">
        <v>19055.544300000001</v>
      </c>
    </row>
    <row r="394" spans="1:2" x14ac:dyDescent="0.25">
      <c r="A394" s="21">
        <v>41089</v>
      </c>
      <c r="B394">
        <v>21859.7359</v>
      </c>
    </row>
    <row r="395" spans="1:2" x14ac:dyDescent="0.25">
      <c r="A395" s="21">
        <v>41090</v>
      </c>
      <c r="B395">
        <v>4078145.0151</v>
      </c>
    </row>
    <row r="396" spans="1:2" x14ac:dyDescent="0.25">
      <c r="A396" s="21">
        <v>41091</v>
      </c>
      <c r="B396">
        <v>15080.922399999999</v>
      </c>
    </row>
    <row r="397" spans="1:2" x14ac:dyDescent="0.25">
      <c r="A397" s="21">
        <v>41092</v>
      </c>
      <c r="B397">
        <v>13207.6122</v>
      </c>
    </row>
    <row r="398" spans="1:2" x14ac:dyDescent="0.25">
      <c r="A398" s="21">
        <v>41093</v>
      </c>
      <c r="B398">
        <v>20917.5288</v>
      </c>
    </row>
    <row r="399" spans="1:2" x14ac:dyDescent="0.25">
      <c r="A399" s="21">
        <v>41094</v>
      </c>
      <c r="B399">
        <v>17595.838800000001</v>
      </c>
    </row>
    <row r="400" spans="1:2" x14ac:dyDescent="0.25">
      <c r="A400" s="21">
        <v>41095</v>
      </c>
      <c r="B400">
        <v>26722.557499999999</v>
      </c>
    </row>
    <row r="401" spans="1:2" x14ac:dyDescent="0.25">
      <c r="A401" s="21">
        <v>41096</v>
      </c>
      <c r="B401">
        <v>25668.591899999999</v>
      </c>
    </row>
    <row r="402" spans="1:2" x14ac:dyDescent="0.25">
      <c r="A402" s="21">
        <v>41097</v>
      </c>
      <c r="B402">
        <v>17617.882300000001</v>
      </c>
    </row>
    <row r="403" spans="1:2" x14ac:dyDescent="0.25">
      <c r="A403" s="21">
        <v>41098</v>
      </c>
      <c r="B403">
        <v>16215.3619</v>
      </c>
    </row>
    <row r="404" spans="1:2" x14ac:dyDescent="0.25">
      <c r="A404" s="21">
        <v>41099</v>
      </c>
      <c r="B404">
        <v>8190.9902000000002</v>
      </c>
    </row>
    <row r="405" spans="1:2" x14ac:dyDescent="0.25">
      <c r="A405" s="21">
        <v>41100</v>
      </c>
      <c r="B405">
        <v>9394.4652000000006</v>
      </c>
    </row>
    <row r="406" spans="1:2" x14ac:dyDescent="0.25">
      <c r="A406" s="21">
        <v>41101</v>
      </c>
      <c r="B406">
        <v>22124.346000000001</v>
      </c>
    </row>
    <row r="407" spans="1:2" x14ac:dyDescent="0.25">
      <c r="A407" s="21">
        <v>41102</v>
      </c>
      <c r="B407">
        <v>29162.140200000002</v>
      </c>
    </row>
    <row r="408" spans="1:2" x14ac:dyDescent="0.25">
      <c r="A408" s="21">
        <v>41103</v>
      </c>
      <c r="B408">
        <v>20139.318599999999</v>
      </c>
    </row>
    <row r="409" spans="1:2" x14ac:dyDescent="0.25">
      <c r="A409" s="21">
        <v>41104</v>
      </c>
      <c r="B409">
        <v>24914.7124</v>
      </c>
    </row>
    <row r="410" spans="1:2" x14ac:dyDescent="0.25">
      <c r="A410" s="21">
        <v>41105</v>
      </c>
      <c r="B410">
        <v>10553.569799999999</v>
      </c>
    </row>
    <row r="411" spans="1:2" x14ac:dyDescent="0.25">
      <c r="A411" s="21">
        <v>41106</v>
      </c>
      <c r="B411">
        <v>20163.649300000001</v>
      </c>
    </row>
    <row r="412" spans="1:2" x14ac:dyDescent="0.25">
      <c r="A412" s="21">
        <v>41107</v>
      </c>
      <c r="B412">
        <v>18119.300999999999</v>
      </c>
    </row>
    <row r="413" spans="1:2" x14ac:dyDescent="0.25">
      <c r="A413" s="21">
        <v>41108</v>
      </c>
      <c r="B413">
        <v>26076.104200000002</v>
      </c>
    </row>
    <row r="414" spans="1:2" x14ac:dyDescent="0.25">
      <c r="A414" s="21">
        <v>41109</v>
      </c>
      <c r="B414">
        <v>24188.119600000002</v>
      </c>
    </row>
    <row r="415" spans="1:2" x14ac:dyDescent="0.25">
      <c r="A415" s="21">
        <v>41110</v>
      </c>
      <c r="B415">
        <v>21012.2844</v>
      </c>
    </row>
    <row r="416" spans="1:2" x14ac:dyDescent="0.25">
      <c r="A416" s="21">
        <v>41111</v>
      </c>
      <c r="B416">
        <v>22410.999599999999</v>
      </c>
    </row>
    <row r="417" spans="1:2" x14ac:dyDescent="0.25">
      <c r="A417" s="21">
        <v>41112</v>
      </c>
      <c r="B417">
        <v>12220.7003</v>
      </c>
    </row>
    <row r="418" spans="1:2" x14ac:dyDescent="0.25">
      <c r="A418" s="21">
        <v>41113</v>
      </c>
      <c r="B418">
        <v>22260.335599999999</v>
      </c>
    </row>
    <row r="419" spans="1:2" x14ac:dyDescent="0.25">
      <c r="A419" s="21">
        <v>41114</v>
      </c>
      <c r="B419">
        <v>22671.6531</v>
      </c>
    </row>
    <row r="420" spans="1:2" x14ac:dyDescent="0.25">
      <c r="A420" s="21">
        <v>41115</v>
      </c>
      <c r="B420">
        <v>23023.257000000001</v>
      </c>
    </row>
    <row r="421" spans="1:2" x14ac:dyDescent="0.25">
      <c r="A421" s="21">
        <v>41116</v>
      </c>
      <c r="B421">
        <v>20645.671699999999</v>
      </c>
    </row>
    <row r="422" spans="1:2" x14ac:dyDescent="0.25">
      <c r="A422" s="21">
        <v>41117</v>
      </c>
      <c r="B422">
        <v>18318.140599999999</v>
      </c>
    </row>
    <row r="423" spans="1:2" x14ac:dyDescent="0.25">
      <c r="A423" s="21">
        <v>41118</v>
      </c>
      <c r="B423">
        <v>14171.0136</v>
      </c>
    </row>
    <row r="424" spans="1:2" x14ac:dyDescent="0.25">
      <c r="A424" s="21">
        <v>41119</v>
      </c>
      <c r="B424">
        <v>16818.577399999998</v>
      </c>
    </row>
    <row r="425" spans="1:2" x14ac:dyDescent="0.25">
      <c r="A425" s="21">
        <v>41120</v>
      </c>
      <c r="B425">
        <v>25757.3547</v>
      </c>
    </row>
    <row r="426" spans="1:2" x14ac:dyDescent="0.25">
      <c r="A426" s="21">
        <v>41121</v>
      </c>
      <c r="B426">
        <v>3254868.4586999998</v>
      </c>
    </row>
    <row r="427" spans="1:2" x14ac:dyDescent="0.25">
      <c r="A427" s="21">
        <v>41122</v>
      </c>
      <c r="B427">
        <v>12767.673000000001</v>
      </c>
    </row>
    <row r="428" spans="1:2" x14ac:dyDescent="0.25">
      <c r="A428" s="21">
        <v>41123</v>
      </c>
      <c r="B428">
        <v>18579.614300000001</v>
      </c>
    </row>
    <row r="429" spans="1:2" x14ac:dyDescent="0.25">
      <c r="A429" s="21">
        <v>41124</v>
      </c>
      <c r="B429">
        <v>11540.4817</v>
      </c>
    </row>
    <row r="430" spans="1:2" x14ac:dyDescent="0.25">
      <c r="A430" s="21">
        <v>41125</v>
      </c>
      <c r="B430">
        <v>9642.5064000000002</v>
      </c>
    </row>
    <row r="431" spans="1:2" x14ac:dyDescent="0.25">
      <c r="A431" s="21">
        <v>41126</v>
      </c>
      <c r="B431">
        <v>9931.7816000000003</v>
      </c>
    </row>
    <row r="432" spans="1:2" x14ac:dyDescent="0.25">
      <c r="A432" s="21">
        <v>41127</v>
      </c>
      <c r="B432">
        <v>3565.1057999999998</v>
      </c>
    </row>
    <row r="433" spans="1:2" x14ac:dyDescent="0.25">
      <c r="A433" s="21">
        <v>41128</v>
      </c>
      <c r="B433">
        <v>20725.296399999999</v>
      </c>
    </row>
    <row r="434" spans="1:2" x14ac:dyDescent="0.25">
      <c r="A434" s="21">
        <v>41129</v>
      </c>
      <c r="B434">
        <v>17606.984100000001</v>
      </c>
    </row>
    <row r="435" spans="1:2" x14ac:dyDescent="0.25">
      <c r="A435" s="21">
        <v>41130</v>
      </c>
      <c r="B435">
        <v>18625.988499999999</v>
      </c>
    </row>
    <row r="436" spans="1:2" x14ac:dyDescent="0.25">
      <c r="A436" s="21">
        <v>41131</v>
      </c>
      <c r="B436">
        <v>16985.195899999999</v>
      </c>
    </row>
    <row r="437" spans="1:2" x14ac:dyDescent="0.25">
      <c r="A437" s="21">
        <v>41132</v>
      </c>
      <c r="B437">
        <v>10811.2673</v>
      </c>
    </row>
    <row r="438" spans="1:2" x14ac:dyDescent="0.25">
      <c r="A438" s="21">
        <v>41133</v>
      </c>
      <c r="B438">
        <v>20401.307100000002</v>
      </c>
    </row>
    <row r="439" spans="1:2" x14ac:dyDescent="0.25">
      <c r="A439" s="21">
        <v>41134</v>
      </c>
      <c r="B439">
        <v>18088.6721</v>
      </c>
    </row>
    <row r="440" spans="1:2" x14ac:dyDescent="0.25">
      <c r="A440" s="21">
        <v>41135</v>
      </c>
      <c r="B440">
        <v>9785.4086000000007</v>
      </c>
    </row>
    <row r="441" spans="1:2" x14ac:dyDescent="0.25">
      <c r="A441" s="21">
        <v>41136</v>
      </c>
      <c r="B441">
        <v>9129.8551000000007</v>
      </c>
    </row>
    <row r="442" spans="1:2" x14ac:dyDescent="0.25">
      <c r="A442" s="21">
        <v>41137</v>
      </c>
      <c r="B442">
        <v>10747.989799999999</v>
      </c>
    </row>
    <row r="443" spans="1:2" x14ac:dyDescent="0.25">
      <c r="A443" s="21">
        <v>41138</v>
      </c>
      <c r="B443">
        <v>20628.2536</v>
      </c>
    </row>
    <row r="444" spans="1:2" x14ac:dyDescent="0.25">
      <c r="A444" s="21">
        <v>41139</v>
      </c>
      <c r="B444">
        <v>15754.2284</v>
      </c>
    </row>
    <row r="445" spans="1:2" x14ac:dyDescent="0.25">
      <c r="A445" s="21">
        <v>41140</v>
      </c>
      <c r="B445">
        <v>10905.173699999999</v>
      </c>
    </row>
    <row r="446" spans="1:2" x14ac:dyDescent="0.25">
      <c r="A446" s="21">
        <v>41141</v>
      </c>
      <c r="B446">
        <v>12049.662200000001</v>
      </c>
    </row>
    <row r="447" spans="1:2" x14ac:dyDescent="0.25">
      <c r="A447" s="21">
        <v>41142</v>
      </c>
      <c r="B447">
        <v>9202.5671999999995</v>
      </c>
    </row>
    <row r="448" spans="1:2" x14ac:dyDescent="0.25">
      <c r="A448" s="21">
        <v>41143</v>
      </c>
      <c r="B448">
        <v>9506.1241000000009</v>
      </c>
    </row>
    <row r="449" spans="1:2" x14ac:dyDescent="0.25">
      <c r="A449" s="21">
        <v>41144</v>
      </c>
      <c r="B449">
        <v>17345.510399999999</v>
      </c>
    </row>
    <row r="450" spans="1:2" x14ac:dyDescent="0.25">
      <c r="A450" s="21">
        <v>41145</v>
      </c>
      <c r="B450">
        <v>10357.046399999999</v>
      </c>
    </row>
    <row r="451" spans="1:2" x14ac:dyDescent="0.25">
      <c r="A451" s="21">
        <v>41146</v>
      </c>
      <c r="B451">
        <v>21396.414799999999</v>
      </c>
    </row>
    <row r="452" spans="1:2" x14ac:dyDescent="0.25">
      <c r="A452" s="21">
        <v>41147</v>
      </c>
      <c r="B452">
        <v>5540.0842000000002</v>
      </c>
    </row>
    <row r="453" spans="1:2" x14ac:dyDescent="0.25">
      <c r="A453" s="21">
        <v>41148</v>
      </c>
      <c r="B453">
        <v>3154.1226999999999</v>
      </c>
    </row>
    <row r="454" spans="1:2" x14ac:dyDescent="0.25">
      <c r="A454" s="21">
        <v>41149</v>
      </c>
      <c r="B454">
        <v>14309.959199999999</v>
      </c>
    </row>
    <row r="455" spans="1:2" x14ac:dyDescent="0.25">
      <c r="A455" s="21">
        <v>41150</v>
      </c>
      <c r="B455">
        <v>15027.6356</v>
      </c>
    </row>
    <row r="456" spans="1:2" x14ac:dyDescent="0.25">
      <c r="A456" s="21">
        <v>41151</v>
      </c>
      <c r="B456">
        <v>2044276.0199</v>
      </c>
    </row>
    <row r="457" spans="1:2" x14ac:dyDescent="0.25">
      <c r="A457" s="21">
        <v>41152</v>
      </c>
      <c r="B457">
        <v>14063.253000000001</v>
      </c>
    </row>
    <row r="458" spans="1:2" x14ac:dyDescent="0.25">
      <c r="A458" s="21">
        <v>41153</v>
      </c>
      <c r="B458">
        <v>17184.8557</v>
      </c>
    </row>
    <row r="459" spans="1:2" x14ac:dyDescent="0.25">
      <c r="A459" s="21">
        <v>41154</v>
      </c>
      <c r="B459">
        <v>14142.391900000001</v>
      </c>
    </row>
    <row r="460" spans="1:2" x14ac:dyDescent="0.25">
      <c r="A460" s="21">
        <v>41155</v>
      </c>
      <c r="B460">
        <v>5564.7493000000004</v>
      </c>
    </row>
    <row r="461" spans="1:2" x14ac:dyDescent="0.25">
      <c r="A461" s="21">
        <v>41156</v>
      </c>
      <c r="B461">
        <v>13462.9935</v>
      </c>
    </row>
    <row r="462" spans="1:2" x14ac:dyDescent="0.25">
      <c r="A462" s="21">
        <v>41157</v>
      </c>
      <c r="B462">
        <v>12694.9609</v>
      </c>
    </row>
    <row r="463" spans="1:2" x14ac:dyDescent="0.25">
      <c r="A463" s="21">
        <v>41158</v>
      </c>
      <c r="B463">
        <v>15325.8272</v>
      </c>
    </row>
    <row r="464" spans="1:2" x14ac:dyDescent="0.25">
      <c r="A464" s="21">
        <v>41159</v>
      </c>
      <c r="B464">
        <v>7688.7223000000004</v>
      </c>
    </row>
    <row r="465" spans="1:2" x14ac:dyDescent="0.25">
      <c r="A465" s="21">
        <v>41160</v>
      </c>
      <c r="B465">
        <v>9496.1334000000006</v>
      </c>
    </row>
    <row r="466" spans="1:2" x14ac:dyDescent="0.25">
      <c r="A466" s="21">
        <v>41161</v>
      </c>
      <c r="B466">
        <v>17209.520799999998</v>
      </c>
    </row>
    <row r="467" spans="1:2" x14ac:dyDescent="0.25">
      <c r="A467" s="21">
        <v>41162</v>
      </c>
      <c r="B467">
        <v>19797.8858</v>
      </c>
    </row>
    <row r="468" spans="1:2" x14ac:dyDescent="0.25">
      <c r="A468" s="21">
        <v>41163</v>
      </c>
      <c r="B468">
        <v>26598.227999999999</v>
      </c>
    </row>
    <row r="469" spans="1:2" x14ac:dyDescent="0.25">
      <c r="A469" s="21">
        <v>41164</v>
      </c>
      <c r="B469">
        <v>13953.7299</v>
      </c>
    </row>
    <row r="470" spans="1:2" x14ac:dyDescent="0.25">
      <c r="A470" s="21">
        <v>41165</v>
      </c>
      <c r="B470">
        <v>11996.375400000001</v>
      </c>
    </row>
    <row r="471" spans="1:2" x14ac:dyDescent="0.25">
      <c r="A471" s="21">
        <v>41166</v>
      </c>
      <c r="B471">
        <v>15124.1602</v>
      </c>
    </row>
    <row r="472" spans="1:2" x14ac:dyDescent="0.25">
      <c r="A472" s="21">
        <v>41167</v>
      </c>
      <c r="B472">
        <v>12094.367</v>
      </c>
    </row>
    <row r="473" spans="1:2" x14ac:dyDescent="0.25">
      <c r="A473" s="21">
        <v>41168</v>
      </c>
      <c r="B473">
        <v>14500.0558</v>
      </c>
    </row>
    <row r="474" spans="1:2" x14ac:dyDescent="0.25">
      <c r="A474" s="21">
        <v>41169</v>
      </c>
      <c r="B474">
        <v>23630.245299999999</v>
      </c>
    </row>
    <row r="475" spans="1:2" x14ac:dyDescent="0.25">
      <c r="A475" s="21">
        <v>41170</v>
      </c>
      <c r="B475">
        <v>15848.1348</v>
      </c>
    </row>
    <row r="476" spans="1:2" x14ac:dyDescent="0.25">
      <c r="A476" s="21">
        <v>41171</v>
      </c>
      <c r="B476">
        <v>21127.3851</v>
      </c>
    </row>
    <row r="477" spans="1:2" x14ac:dyDescent="0.25">
      <c r="A477" s="21">
        <v>41172</v>
      </c>
      <c r="B477">
        <v>14166.722599999999</v>
      </c>
    </row>
    <row r="478" spans="1:2" x14ac:dyDescent="0.25">
      <c r="A478" s="21">
        <v>41173</v>
      </c>
      <c r="B478">
        <v>13462.9935</v>
      </c>
    </row>
    <row r="479" spans="1:2" x14ac:dyDescent="0.25">
      <c r="A479" s="21">
        <v>41174</v>
      </c>
      <c r="B479">
        <v>20192.6054</v>
      </c>
    </row>
    <row r="480" spans="1:2" x14ac:dyDescent="0.25">
      <c r="A480" s="21">
        <v>41175</v>
      </c>
      <c r="B480">
        <v>13727.6036</v>
      </c>
    </row>
    <row r="481" spans="1:2" x14ac:dyDescent="0.25">
      <c r="A481" s="21">
        <v>41176</v>
      </c>
      <c r="B481">
        <v>17100.811399999999</v>
      </c>
    </row>
    <row r="482" spans="1:2" x14ac:dyDescent="0.25">
      <c r="A482" s="21">
        <v>41177</v>
      </c>
      <c r="B482">
        <v>7521.1549999999997</v>
      </c>
    </row>
    <row r="483" spans="1:2" x14ac:dyDescent="0.25">
      <c r="A483" s="21">
        <v>41178</v>
      </c>
      <c r="B483">
        <v>11902.468999999999</v>
      </c>
    </row>
    <row r="484" spans="1:2" x14ac:dyDescent="0.25">
      <c r="A484" s="21">
        <v>41179</v>
      </c>
      <c r="B484">
        <v>11129.498600000001</v>
      </c>
    </row>
    <row r="485" spans="1:2" x14ac:dyDescent="0.25">
      <c r="A485" s="21">
        <v>41180</v>
      </c>
      <c r="B485">
        <v>25828.397400000002</v>
      </c>
    </row>
    <row r="486" spans="1:2" x14ac:dyDescent="0.25">
      <c r="A486" s="21">
        <v>41181</v>
      </c>
      <c r="B486">
        <v>7946.4197999999997</v>
      </c>
    </row>
    <row r="487" spans="1:2" x14ac:dyDescent="0.25">
      <c r="A487" s="21">
        <v>41182</v>
      </c>
      <c r="B487">
        <v>3451304.7873999998</v>
      </c>
    </row>
    <row r="488" spans="1:2" x14ac:dyDescent="0.25">
      <c r="A488" s="21">
        <v>41183</v>
      </c>
      <c r="B488">
        <v>9663.7006999999994</v>
      </c>
    </row>
    <row r="489" spans="1:2" x14ac:dyDescent="0.25">
      <c r="A489" s="21">
        <v>41184</v>
      </c>
      <c r="B489">
        <v>11634.3881</v>
      </c>
    </row>
    <row r="490" spans="1:2" x14ac:dyDescent="0.25">
      <c r="A490" s="21">
        <v>41185</v>
      </c>
      <c r="B490">
        <v>2699.9018000000001</v>
      </c>
    </row>
    <row r="491" spans="1:2" x14ac:dyDescent="0.25">
      <c r="A491" s="21">
        <v>41186</v>
      </c>
      <c r="B491">
        <v>8522.3485999999994</v>
      </c>
    </row>
    <row r="492" spans="1:2" x14ac:dyDescent="0.25">
      <c r="A492" s="21">
        <v>41187</v>
      </c>
      <c r="B492">
        <v>17731.828399999999</v>
      </c>
    </row>
    <row r="493" spans="1:2" x14ac:dyDescent="0.25">
      <c r="A493" s="21">
        <v>41188</v>
      </c>
      <c r="B493">
        <v>7775.7160999999996</v>
      </c>
    </row>
    <row r="494" spans="1:2" x14ac:dyDescent="0.25">
      <c r="A494" s="21">
        <v>41189</v>
      </c>
      <c r="B494">
        <v>15468.7294</v>
      </c>
    </row>
    <row r="495" spans="1:2" x14ac:dyDescent="0.25">
      <c r="A495" s="21">
        <v>41190</v>
      </c>
      <c r="B495">
        <v>8264.6510999999991</v>
      </c>
    </row>
    <row r="496" spans="1:2" x14ac:dyDescent="0.25">
      <c r="A496" s="21">
        <v>41191</v>
      </c>
      <c r="B496">
        <v>15203.784900000001</v>
      </c>
    </row>
    <row r="497" spans="1:2" x14ac:dyDescent="0.25">
      <c r="A497" s="21">
        <v>41192</v>
      </c>
      <c r="B497">
        <v>23300.868699999999</v>
      </c>
    </row>
    <row r="498" spans="1:2" x14ac:dyDescent="0.25">
      <c r="A498" s="21">
        <v>41193</v>
      </c>
      <c r="B498">
        <v>11902.468999999999</v>
      </c>
    </row>
    <row r="499" spans="1:2" x14ac:dyDescent="0.25">
      <c r="A499" s="21">
        <v>41194</v>
      </c>
      <c r="B499">
        <v>9785.4086000000007</v>
      </c>
    </row>
    <row r="500" spans="1:2" x14ac:dyDescent="0.25">
      <c r="A500" s="21">
        <v>41195</v>
      </c>
      <c r="B500">
        <v>12509.9755</v>
      </c>
    </row>
    <row r="501" spans="1:2" x14ac:dyDescent="0.25">
      <c r="A501" s="21">
        <v>41196</v>
      </c>
      <c r="B501">
        <v>5854.0245000000004</v>
      </c>
    </row>
    <row r="502" spans="1:2" x14ac:dyDescent="0.25">
      <c r="A502" s="21">
        <v>41197</v>
      </c>
      <c r="B502">
        <v>16985.195899999999</v>
      </c>
    </row>
    <row r="503" spans="1:2" x14ac:dyDescent="0.25">
      <c r="A503" s="21">
        <v>41198</v>
      </c>
      <c r="B503">
        <v>9681.1188000000002</v>
      </c>
    </row>
    <row r="504" spans="1:2" x14ac:dyDescent="0.25">
      <c r="A504" s="21">
        <v>41199</v>
      </c>
      <c r="B504">
        <v>12405.6857</v>
      </c>
    </row>
    <row r="505" spans="1:2" x14ac:dyDescent="0.25">
      <c r="A505" s="21">
        <v>41200</v>
      </c>
      <c r="B505">
        <v>8069.2822999999999</v>
      </c>
    </row>
    <row r="506" spans="1:2" x14ac:dyDescent="0.25">
      <c r="A506" s="21">
        <v>41201</v>
      </c>
      <c r="B506">
        <v>18236.199700000001</v>
      </c>
    </row>
    <row r="507" spans="1:2" x14ac:dyDescent="0.25">
      <c r="A507" s="21">
        <v>41202</v>
      </c>
      <c r="B507">
        <v>11169.783799999999</v>
      </c>
    </row>
    <row r="508" spans="1:2" x14ac:dyDescent="0.25">
      <c r="A508" s="21">
        <v>41203</v>
      </c>
      <c r="B508">
        <v>8264.6510999999991</v>
      </c>
    </row>
    <row r="509" spans="1:2" x14ac:dyDescent="0.25">
      <c r="A509" s="21">
        <v>41204</v>
      </c>
      <c r="B509">
        <v>7775.7160999999996</v>
      </c>
    </row>
    <row r="510" spans="1:2" x14ac:dyDescent="0.25">
      <c r="A510" s="21">
        <v>41205</v>
      </c>
      <c r="B510">
        <v>19634.094700000001</v>
      </c>
    </row>
    <row r="511" spans="1:2" x14ac:dyDescent="0.25">
      <c r="A511" s="21">
        <v>41206</v>
      </c>
      <c r="B511">
        <v>17760.784500000002</v>
      </c>
    </row>
    <row r="512" spans="1:2" x14ac:dyDescent="0.25">
      <c r="A512" s="21">
        <v>41207</v>
      </c>
      <c r="B512">
        <v>11418.773800000001</v>
      </c>
    </row>
    <row r="513" spans="1:2" x14ac:dyDescent="0.25">
      <c r="A513" s="21">
        <v>41208</v>
      </c>
      <c r="B513">
        <v>15148.950800000001</v>
      </c>
    </row>
    <row r="514" spans="1:2" x14ac:dyDescent="0.25">
      <c r="A514" s="21">
        <v>41209</v>
      </c>
      <c r="B514">
        <v>12094.367</v>
      </c>
    </row>
    <row r="515" spans="1:2" x14ac:dyDescent="0.25">
      <c r="A515" s="21">
        <v>41210</v>
      </c>
      <c r="B515">
        <v>12070.0363</v>
      </c>
    </row>
    <row r="516" spans="1:2" x14ac:dyDescent="0.25">
      <c r="A516" s="21">
        <v>41211</v>
      </c>
      <c r="B516">
        <v>17296.180199999999</v>
      </c>
    </row>
    <row r="517" spans="1:2" x14ac:dyDescent="0.25">
      <c r="A517" s="21">
        <v>41212</v>
      </c>
      <c r="B517">
        <v>2483642.2179</v>
      </c>
    </row>
    <row r="518" spans="1:2" x14ac:dyDescent="0.25">
      <c r="A518" s="21">
        <v>41213</v>
      </c>
      <c r="B518">
        <v>16089.362999999999</v>
      </c>
    </row>
    <row r="519" spans="1:2" x14ac:dyDescent="0.25">
      <c r="A519" s="21">
        <v>41214</v>
      </c>
      <c r="B519">
        <v>32719.384600000001</v>
      </c>
    </row>
    <row r="520" spans="1:2" x14ac:dyDescent="0.25">
      <c r="A520" s="21">
        <v>41215</v>
      </c>
      <c r="B520">
        <v>4234.9409999999998</v>
      </c>
    </row>
    <row r="521" spans="1:2" x14ac:dyDescent="0.25">
      <c r="A521" s="21">
        <v>41216</v>
      </c>
      <c r="B521">
        <v>22274.617300000002</v>
      </c>
    </row>
    <row r="522" spans="1:2" x14ac:dyDescent="0.25">
      <c r="A522" s="21">
        <v>41217</v>
      </c>
      <c r="B522">
        <v>12862.399600000001</v>
      </c>
    </row>
    <row r="523" spans="1:2" x14ac:dyDescent="0.25">
      <c r="A523" s="21">
        <v>41218</v>
      </c>
      <c r="B523">
        <v>31704.980200000002</v>
      </c>
    </row>
    <row r="524" spans="1:2" x14ac:dyDescent="0.25">
      <c r="A524" s="21">
        <v>41219</v>
      </c>
      <c r="B524">
        <v>20833.818899999998</v>
      </c>
    </row>
    <row r="525" spans="1:2" x14ac:dyDescent="0.25">
      <c r="A525" s="21">
        <v>41220</v>
      </c>
      <c r="B525">
        <v>10954.1695</v>
      </c>
    </row>
    <row r="526" spans="1:2" x14ac:dyDescent="0.25">
      <c r="A526" s="21">
        <v>41221</v>
      </c>
      <c r="B526">
        <v>17767.175800000001</v>
      </c>
    </row>
    <row r="527" spans="1:2" x14ac:dyDescent="0.25">
      <c r="A527" s="21">
        <v>41222</v>
      </c>
      <c r="B527">
        <v>27463.432000000001</v>
      </c>
    </row>
    <row r="528" spans="1:2" x14ac:dyDescent="0.25">
      <c r="A528" s="21">
        <v>41223</v>
      </c>
      <c r="B528">
        <v>35415.815600000002</v>
      </c>
    </row>
    <row r="529" spans="1:2" x14ac:dyDescent="0.25">
      <c r="A529" s="21">
        <v>41224</v>
      </c>
      <c r="B529">
        <v>24500.2585</v>
      </c>
    </row>
    <row r="530" spans="1:2" x14ac:dyDescent="0.25">
      <c r="A530" s="21">
        <v>41225</v>
      </c>
      <c r="B530">
        <v>28685.997899999998</v>
      </c>
    </row>
    <row r="531" spans="1:2" x14ac:dyDescent="0.25">
      <c r="A531" s="21">
        <v>41226</v>
      </c>
      <c r="B531">
        <v>10361.3374</v>
      </c>
    </row>
    <row r="532" spans="1:2" x14ac:dyDescent="0.25">
      <c r="A532" s="21">
        <v>41227</v>
      </c>
      <c r="B532">
        <v>17045.517400000001</v>
      </c>
    </row>
    <row r="533" spans="1:2" x14ac:dyDescent="0.25">
      <c r="A533" s="21">
        <v>41228</v>
      </c>
      <c r="B533">
        <v>20185.692800000001</v>
      </c>
    </row>
    <row r="534" spans="1:2" x14ac:dyDescent="0.25">
      <c r="A534" s="21">
        <v>41229</v>
      </c>
      <c r="B534">
        <v>21875.172200000001</v>
      </c>
    </row>
    <row r="535" spans="1:2" x14ac:dyDescent="0.25">
      <c r="A535" s="21">
        <v>41230</v>
      </c>
      <c r="B535">
        <v>31392.499899999999</v>
      </c>
    </row>
    <row r="536" spans="1:2" x14ac:dyDescent="0.25">
      <c r="A536" s="21">
        <v>41231</v>
      </c>
      <c r="B536">
        <v>27414.1018</v>
      </c>
    </row>
    <row r="537" spans="1:2" x14ac:dyDescent="0.25">
      <c r="A537" s="21">
        <v>41232</v>
      </c>
      <c r="B537">
        <v>5658.6557000000003</v>
      </c>
    </row>
    <row r="538" spans="1:2" x14ac:dyDescent="0.25">
      <c r="A538" s="21">
        <v>41233</v>
      </c>
      <c r="B538">
        <v>21916.920999999998</v>
      </c>
    </row>
    <row r="539" spans="1:2" x14ac:dyDescent="0.25">
      <c r="A539" s="21">
        <v>41234</v>
      </c>
      <c r="B539">
        <v>23415.1492</v>
      </c>
    </row>
    <row r="540" spans="1:2" x14ac:dyDescent="0.25">
      <c r="A540" s="21">
        <v>41235</v>
      </c>
      <c r="B540">
        <v>24881.7673</v>
      </c>
    </row>
    <row r="541" spans="1:2" x14ac:dyDescent="0.25">
      <c r="A541" s="21">
        <v>41236</v>
      </c>
      <c r="B541">
        <v>13291.135200000001</v>
      </c>
    </row>
    <row r="542" spans="1:2" x14ac:dyDescent="0.25">
      <c r="A542" s="21">
        <v>41237</v>
      </c>
      <c r="B542">
        <v>17370.995699999999</v>
      </c>
    </row>
    <row r="543" spans="1:2" x14ac:dyDescent="0.25">
      <c r="A543" s="21">
        <v>41238</v>
      </c>
      <c r="B543">
        <v>17561.1247</v>
      </c>
    </row>
    <row r="544" spans="1:2" x14ac:dyDescent="0.25">
      <c r="A544" s="21">
        <v>41239</v>
      </c>
      <c r="B544">
        <v>22501.4352</v>
      </c>
    </row>
    <row r="545" spans="1:2" x14ac:dyDescent="0.25">
      <c r="A545" s="21">
        <v>41240</v>
      </c>
      <c r="B545">
        <v>25413.6381</v>
      </c>
    </row>
    <row r="546" spans="1:2" x14ac:dyDescent="0.25">
      <c r="A546" s="21">
        <v>41241</v>
      </c>
      <c r="B546">
        <v>17498.795999999998</v>
      </c>
    </row>
    <row r="547" spans="1:2" x14ac:dyDescent="0.25">
      <c r="A547" s="21">
        <v>41242</v>
      </c>
      <c r="B547">
        <v>12499.5921</v>
      </c>
    </row>
    <row r="548" spans="1:2" x14ac:dyDescent="0.25">
      <c r="A548" s="21">
        <v>41243</v>
      </c>
      <c r="B548">
        <v>1497452.6066000001</v>
      </c>
    </row>
    <row r="549" spans="1:2" x14ac:dyDescent="0.25">
      <c r="A549" s="21">
        <v>41244</v>
      </c>
      <c r="B549">
        <v>21772.349399999999</v>
      </c>
    </row>
    <row r="550" spans="1:2" x14ac:dyDescent="0.25">
      <c r="A550" s="21">
        <v>41245</v>
      </c>
      <c r="B550">
        <v>14939.174800000001</v>
      </c>
    </row>
    <row r="551" spans="1:2" x14ac:dyDescent="0.25">
      <c r="A551" s="21">
        <v>41246</v>
      </c>
      <c r="B551">
        <v>20585.015800000001</v>
      </c>
    </row>
    <row r="552" spans="1:2" x14ac:dyDescent="0.25">
      <c r="A552" s="21">
        <v>41247</v>
      </c>
      <c r="B552">
        <v>14914.509700000001</v>
      </c>
    </row>
    <row r="553" spans="1:2" x14ac:dyDescent="0.25">
      <c r="A553" s="21">
        <v>41248</v>
      </c>
      <c r="B553">
        <v>4821.2532000000001</v>
      </c>
    </row>
    <row r="554" spans="1:2" x14ac:dyDescent="0.25">
      <c r="A554" s="21">
        <v>41249</v>
      </c>
      <c r="B554">
        <v>16158.604300000001</v>
      </c>
    </row>
    <row r="555" spans="1:2" x14ac:dyDescent="0.25">
      <c r="A555" s="21">
        <v>41250</v>
      </c>
      <c r="B555">
        <v>17385.277399999999</v>
      </c>
    </row>
    <row r="556" spans="1:2" x14ac:dyDescent="0.25">
      <c r="A556" s="21">
        <v>41251</v>
      </c>
      <c r="B556">
        <v>20046.566800000001</v>
      </c>
    </row>
    <row r="557" spans="1:2" x14ac:dyDescent="0.25">
      <c r="A557" s="21">
        <v>41252</v>
      </c>
      <c r="B557">
        <v>17191.8904</v>
      </c>
    </row>
    <row r="558" spans="1:2" x14ac:dyDescent="0.25">
      <c r="A558" s="21">
        <v>41253</v>
      </c>
      <c r="B558">
        <v>15444.0643</v>
      </c>
    </row>
    <row r="559" spans="1:2" x14ac:dyDescent="0.25">
      <c r="A559" s="21">
        <v>41254</v>
      </c>
      <c r="B559">
        <v>14646.4288</v>
      </c>
    </row>
    <row r="560" spans="1:2" x14ac:dyDescent="0.25">
      <c r="A560" s="21">
        <v>41255</v>
      </c>
      <c r="B560">
        <v>23052.213100000001</v>
      </c>
    </row>
    <row r="561" spans="1:2" x14ac:dyDescent="0.25">
      <c r="A561" s="21">
        <v>41256</v>
      </c>
      <c r="B561">
        <v>13634.8518</v>
      </c>
    </row>
    <row r="562" spans="1:2" x14ac:dyDescent="0.25">
      <c r="A562" s="21">
        <v>41257</v>
      </c>
      <c r="B562">
        <v>17677.688999999998</v>
      </c>
    </row>
    <row r="563" spans="1:2" x14ac:dyDescent="0.25">
      <c r="A563" s="21">
        <v>41258</v>
      </c>
      <c r="B563">
        <v>22163.292799999999</v>
      </c>
    </row>
    <row r="564" spans="1:2" x14ac:dyDescent="0.25">
      <c r="A564" s="21">
        <v>41259</v>
      </c>
      <c r="B564">
        <v>12207.1805</v>
      </c>
    </row>
    <row r="565" spans="1:2" x14ac:dyDescent="0.25">
      <c r="A565" s="21">
        <v>41260</v>
      </c>
      <c r="B565">
        <v>14334.2899</v>
      </c>
    </row>
    <row r="566" spans="1:2" x14ac:dyDescent="0.25">
      <c r="A566" s="21">
        <v>41261</v>
      </c>
      <c r="B566">
        <v>10407.1968</v>
      </c>
    </row>
    <row r="567" spans="1:2" x14ac:dyDescent="0.25">
      <c r="A567" s="21">
        <v>41262</v>
      </c>
      <c r="B567">
        <v>16770.4018</v>
      </c>
    </row>
    <row r="568" spans="1:2" x14ac:dyDescent="0.25">
      <c r="A568" s="21">
        <v>41263</v>
      </c>
      <c r="B568">
        <v>13609.3665</v>
      </c>
    </row>
    <row r="569" spans="1:2" x14ac:dyDescent="0.25">
      <c r="A569" s="21">
        <v>41264</v>
      </c>
      <c r="B569">
        <v>18352.667799999999</v>
      </c>
    </row>
    <row r="570" spans="1:2" x14ac:dyDescent="0.25">
      <c r="A570" s="21">
        <v>41265</v>
      </c>
      <c r="B570">
        <v>23600.134600000001</v>
      </c>
    </row>
    <row r="571" spans="1:2" x14ac:dyDescent="0.25">
      <c r="A571" s="21">
        <v>41266</v>
      </c>
      <c r="B571">
        <v>15203.784900000001</v>
      </c>
    </row>
    <row r="572" spans="1:2" x14ac:dyDescent="0.25">
      <c r="A572" s="21">
        <v>41267</v>
      </c>
      <c r="B572">
        <v>6959.5078999999996</v>
      </c>
    </row>
    <row r="573" spans="1:2" x14ac:dyDescent="0.25">
      <c r="A573" s="21">
        <v>41268</v>
      </c>
      <c r="B573">
        <v>22432.193899999998</v>
      </c>
    </row>
    <row r="574" spans="1:2" x14ac:dyDescent="0.25">
      <c r="A574" s="21">
        <v>41269</v>
      </c>
      <c r="B574">
        <v>5829.3594000000003</v>
      </c>
    </row>
    <row r="575" spans="1:2" x14ac:dyDescent="0.25">
      <c r="A575" s="21">
        <v>41270</v>
      </c>
      <c r="B575">
        <v>12652.877699999999</v>
      </c>
    </row>
    <row r="576" spans="1:2" x14ac:dyDescent="0.25">
      <c r="A576" s="21">
        <v>41271</v>
      </c>
      <c r="B576">
        <v>14889.0244</v>
      </c>
    </row>
    <row r="577" spans="1:2" x14ac:dyDescent="0.25">
      <c r="A577" s="21">
        <v>41272</v>
      </c>
      <c r="B577">
        <v>10210.6734</v>
      </c>
    </row>
    <row r="578" spans="1:2" x14ac:dyDescent="0.25">
      <c r="A578" s="21">
        <v>41273</v>
      </c>
      <c r="B578">
        <v>19302.7363</v>
      </c>
    </row>
    <row r="579" spans="1:2" x14ac:dyDescent="0.25">
      <c r="A579" s="21">
        <v>41274</v>
      </c>
      <c r="B579">
        <v>2705653.5913</v>
      </c>
    </row>
    <row r="580" spans="1:2" x14ac:dyDescent="0.25">
      <c r="A580" s="21">
        <v>41275</v>
      </c>
      <c r="B580">
        <v>21684.406800000001</v>
      </c>
    </row>
    <row r="581" spans="1:2" x14ac:dyDescent="0.25">
      <c r="A581" s="21">
        <v>41276</v>
      </c>
      <c r="B581">
        <v>12489.208699999999</v>
      </c>
    </row>
    <row r="582" spans="1:2" x14ac:dyDescent="0.25">
      <c r="A582" s="21">
        <v>41277</v>
      </c>
      <c r="B582">
        <v>34090.426899999999</v>
      </c>
    </row>
    <row r="583" spans="1:2" x14ac:dyDescent="0.25">
      <c r="A583" s="21">
        <v>41278</v>
      </c>
      <c r="B583">
        <v>18602.477999999999</v>
      </c>
    </row>
    <row r="584" spans="1:2" x14ac:dyDescent="0.25">
      <c r="A584" s="21">
        <v>41279</v>
      </c>
      <c r="B584">
        <v>24974.519100000001</v>
      </c>
    </row>
    <row r="585" spans="1:2" x14ac:dyDescent="0.25">
      <c r="A585" s="21">
        <v>41280</v>
      </c>
      <c r="B585">
        <v>17611.275099999999</v>
      </c>
    </row>
    <row r="586" spans="1:2" x14ac:dyDescent="0.25">
      <c r="A586" s="21">
        <v>41281</v>
      </c>
      <c r="B586">
        <v>19023.451799999999</v>
      </c>
    </row>
    <row r="587" spans="1:2" x14ac:dyDescent="0.25">
      <c r="A587" s="21">
        <v>41282</v>
      </c>
      <c r="B587">
        <v>22642.999</v>
      </c>
    </row>
    <row r="588" spans="1:2" x14ac:dyDescent="0.25">
      <c r="A588" s="21">
        <v>41283</v>
      </c>
      <c r="B588">
        <v>16505.791700000002</v>
      </c>
    </row>
    <row r="589" spans="1:2" x14ac:dyDescent="0.25">
      <c r="A589" s="21">
        <v>41284</v>
      </c>
      <c r="B589">
        <v>9228.0524999999998</v>
      </c>
    </row>
    <row r="590" spans="1:2" x14ac:dyDescent="0.25">
      <c r="A590" s="21">
        <v>41285</v>
      </c>
      <c r="B590">
        <v>20549.783500000001</v>
      </c>
    </row>
    <row r="591" spans="1:2" x14ac:dyDescent="0.25">
      <c r="A591" s="21">
        <v>41286</v>
      </c>
      <c r="B591">
        <v>22497.478599999999</v>
      </c>
    </row>
    <row r="592" spans="1:2" x14ac:dyDescent="0.25">
      <c r="A592" s="21">
        <v>41287</v>
      </c>
      <c r="B592">
        <v>20547.680100000001</v>
      </c>
    </row>
    <row r="593" spans="1:2" x14ac:dyDescent="0.25">
      <c r="A593" s="21">
        <v>41288</v>
      </c>
      <c r="B593">
        <v>20544.209299999999</v>
      </c>
    </row>
    <row r="594" spans="1:2" x14ac:dyDescent="0.25">
      <c r="A594" s="21">
        <v>41289</v>
      </c>
      <c r="B594">
        <v>9106.3446000000004</v>
      </c>
    </row>
    <row r="595" spans="1:2" x14ac:dyDescent="0.25">
      <c r="A595" s="21">
        <v>41290</v>
      </c>
      <c r="B595">
        <v>27396.683700000001</v>
      </c>
    </row>
    <row r="596" spans="1:2" x14ac:dyDescent="0.25">
      <c r="A596" s="21">
        <v>41291</v>
      </c>
      <c r="B596">
        <v>27005.740300000001</v>
      </c>
    </row>
    <row r="597" spans="1:2" x14ac:dyDescent="0.25">
      <c r="A597" s="21">
        <v>41292</v>
      </c>
      <c r="B597">
        <v>21130.521499999999</v>
      </c>
    </row>
    <row r="598" spans="1:2" x14ac:dyDescent="0.25">
      <c r="A598" s="21">
        <v>41293</v>
      </c>
      <c r="B598">
        <v>19320.154399999999</v>
      </c>
    </row>
    <row r="599" spans="1:2" x14ac:dyDescent="0.25">
      <c r="A599" s="21">
        <v>41294</v>
      </c>
      <c r="B599">
        <v>22417.853899999998</v>
      </c>
    </row>
    <row r="600" spans="1:2" x14ac:dyDescent="0.25">
      <c r="A600" s="21">
        <v>41295</v>
      </c>
      <c r="B600">
        <v>23736.516899999999</v>
      </c>
    </row>
    <row r="601" spans="1:2" x14ac:dyDescent="0.25">
      <c r="A601" s="21">
        <v>41296</v>
      </c>
      <c r="B601">
        <v>4430.3098</v>
      </c>
    </row>
    <row r="602" spans="1:2" x14ac:dyDescent="0.25">
      <c r="A602" s="21">
        <v>41297</v>
      </c>
      <c r="B602">
        <v>21727.6446</v>
      </c>
    </row>
    <row r="603" spans="1:2" x14ac:dyDescent="0.25">
      <c r="A603" s="21">
        <v>41298</v>
      </c>
      <c r="B603">
        <v>31974.833500000001</v>
      </c>
    </row>
    <row r="604" spans="1:2" x14ac:dyDescent="0.25">
      <c r="A604" s="21">
        <v>41299</v>
      </c>
      <c r="B604">
        <v>11124.8732</v>
      </c>
    </row>
    <row r="605" spans="1:2" x14ac:dyDescent="0.25">
      <c r="A605" s="21">
        <v>41300</v>
      </c>
      <c r="B605">
        <v>5926.7366000000002</v>
      </c>
    </row>
    <row r="606" spans="1:2" x14ac:dyDescent="0.25">
      <c r="A606" s="21">
        <v>41301</v>
      </c>
      <c r="B606">
        <v>14112.583199999999</v>
      </c>
    </row>
    <row r="607" spans="1:2" x14ac:dyDescent="0.25">
      <c r="A607" s="21">
        <v>41302</v>
      </c>
      <c r="B607">
        <v>1772222.9913000001</v>
      </c>
    </row>
    <row r="608" spans="1:2" x14ac:dyDescent="0.25">
      <c r="A608" s="21">
        <v>41303</v>
      </c>
      <c r="B608">
        <v>21776.9748</v>
      </c>
    </row>
    <row r="609" spans="1:2" x14ac:dyDescent="0.25">
      <c r="A609" s="21">
        <v>41304</v>
      </c>
      <c r="B609">
        <v>12503.883099999999</v>
      </c>
    </row>
    <row r="610" spans="1:2" x14ac:dyDescent="0.25">
      <c r="A610" s="21">
        <v>41305</v>
      </c>
      <c r="B610">
        <v>13155.1456</v>
      </c>
    </row>
    <row r="611" spans="1:2" x14ac:dyDescent="0.25">
      <c r="A611" s="21">
        <v>41306</v>
      </c>
      <c r="B611">
        <v>36526.538800000002</v>
      </c>
    </row>
    <row r="612" spans="1:2" x14ac:dyDescent="0.25">
      <c r="A612" s="21">
        <v>41307</v>
      </c>
      <c r="B612">
        <v>10886.601000000001</v>
      </c>
    </row>
    <row r="613" spans="1:2" x14ac:dyDescent="0.25">
      <c r="A613" s="21">
        <v>41308</v>
      </c>
      <c r="B613">
        <v>14348.571599999999</v>
      </c>
    </row>
    <row r="614" spans="1:2" x14ac:dyDescent="0.25">
      <c r="A614" s="21">
        <v>41309</v>
      </c>
      <c r="B614">
        <v>27024.647400000002</v>
      </c>
    </row>
    <row r="615" spans="1:2" x14ac:dyDescent="0.25">
      <c r="A615" s="21">
        <v>41310</v>
      </c>
      <c r="B615">
        <v>10093.2565</v>
      </c>
    </row>
    <row r="616" spans="1:2" x14ac:dyDescent="0.25">
      <c r="A616" s="21">
        <v>41311</v>
      </c>
      <c r="B616">
        <v>10528.904699999999</v>
      </c>
    </row>
    <row r="617" spans="1:2" x14ac:dyDescent="0.25">
      <c r="A617" s="21">
        <v>41312</v>
      </c>
      <c r="B617">
        <v>14474.5705</v>
      </c>
    </row>
    <row r="618" spans="1:2" x14ac:dyDescent="0.25">
      <c r="A618" s="21">
        <v>41313</v>
      </c>
      <c r="B618">
        <v>36565.1512</v>
      </c>
    </row>
    <row r="619" spans="1:2" x14ac:dyDescent="0.25">
      <c r="A619" s="21">
        <v>41314</v>
      </c>
      <c r="B619">
        <v>16481.1266</v>
      </c>
    </row>
    <row r="620" spans="1:2" x14ac:dyDescent="0.25">
      <c r="A620" s="21">
        <v>41315</v>
      </c>
      <c r="B620">
        <v>18333.2425</v>
      </c>
    </row>
    <row r="621" spans="1:2" x14ac:dyDescent="0.25">
      <c r="A621" s="21">
        <v>41316</v>
      </c>
      <c r="B621">
        <v>12388.267599999999</v>
      </c>
    </row>
    <row r="622" spans="1:2" x14ac:dyDescent="0.25">
      <c r="A622" s="21">
        <v>41317</v>
      </c>
      <c r="B622">
        <v>15422.87</v>
      </c>
    </row>
    <row r="623" spans="1:2" x14ac:dyDescent="0.25">
      <c r="A623" s="21">
        <v>41318</v>
      </c>
      <c r="B623">
        <v>20432.8848</v>
      </c>
    </row>
    <row r="624" spans="1:2" x14ac:dyDescent="0.25">
      <c r="A624" s="21">
        <v>41319</v>
      </c>
      <c r="B624">
        <v>33083.140899999999</v>
      </c>
    </row>
    <row r="625" spans="1:2" x14ac:dyDescent="0.25">
      <c r="A625" s="21">
        <v>41320</v>
      </c>
      <c r="B625">
        <v>21988.2981</v>
      </c>
    </row>
    <row r="626" spans="1:2" x14ac:dyDescent="0.25">
      <c r="A626" s="21">
        <v>41321</v>
      </c>
      <c r="B626">
        <v>17453.364099999999</v>
      </c>
    </row>
    <row r="627" spans="1:2" x14ac:dyDescent="0.25">
      <c r="A627" s="21">
        <v>41322</v>
      </c>
      <c r="B627">
        <v>9370.1345000000001</v>
      </c>
    </row>
    <row r="628" spans="1:2" x14ac:dyDescent="0.25">
      <c r="A628" s="21">
        <v>41323</v>
      </c>
      <c r="B628">
        <v>9600.0305000000008</v>
      </c>
    </row>
    <row r="629" spans="1:2" x14ac:dyDescent="0.25">
      <c r="A629" s="21">
        <v>41324</v>
      </c>
      <c r="B629">
        <v>14167.542799999999</v>
      </c>
    </row>
    <row r="630" spans="1:2" x14ac:dyDescent="0.25">
      <c r="A630" s="21">
        <v>41325</v>
      </c>
      <c r="B630">
        <v>7510.7716</v>
      </c>
    </row>
    <row r="631" spans="1:2" x14ac:dyDescent="0.25">
      <c r="A631" s="21">
        <v>41326</v>
      </c>
      <c r="B631">
        <v>9566.6579000000002</v>
      </c>
    </row>
    <row r="632" spans="1:2" x14ac:dyDescent="0.25">
      <c r="A632" s="21">
        <v>41327</v>
      </c>
      <c r="B632">
        <v>12713.533600000001</v>
      </c>
    </row>
    <row r="633" spans="1:2" x14ac:dyDescent="0.25">
      <c r="A633" s="21">
        <v>41328</v>
      </c>
      <c r="B633">
        <v>6283.5802999999996</v>
      </c>
    </row>
    <row r="634" spans="1:2" x14ac:dyDescent="0.25">
      <c r="A634" s="21">
        <v>41329</v>
      </c>
      <c r="B634">
        <v>27273.486799999999</v>
      </c>
    </row>
    <row r="635" spans="1:2" x14ac:dyDescent="0.25">
      <c r="A635" s="21">
        <v>41330</v>
      </c>
      <c r="B635">
        <v>19394.149700000002</v>
      </c>
    </row>
    <row r="636" spans="1:2" x14ac:dyDescent="0.25">
      <c r="A636" s="21">
        <v>41331</v>
      </c>
      <c r="B636">
        <v>23132.786599999999</v>
      </c>
    </row>
    <row r="637" spans="1:2" x14ac:dyDescent="0.25">
      <c r="A637" s="21">
        <v>41332</v>
      </c>
      <c r="B637">
        <v>22989.884399999999</v>
      </c>
    </row>
    <row r="638" spans="1:2" x14ac:dyDescent="0.25">
      <c r="A638" s="21">
        <v>41333</v>
      </c>
      <c r="B638">
        <v>2122184.8717</v>
      </c>
    </row>
    <row r="639" spans="1:2" x14ac:dyDescent="0.25">
      <c r="A639" s="21">
        <v>41334</v>
      </c>
      <c r="B639">
        <v>29103.581200000001</v>
      </c>
    </row>
    <row r="640" spans="1:2" x14ac:dyDescent="0.25">
      <c r="A640" s="21">
        <v>41335</v>
      </c>
      <c r="B640">
        <v>9056.1941999999999</v>
      </c>
    </row>
    <row r="641" spans="1:2" x14ac:dyDescent="0.25">
      <c r="A641" s="21">
        <v>41336</v>
      </c>
      <c r="B641">
        <v>21409.4133</v>
      </c>
    </row>
    <row r="642" spans="1:2" x14ac:dyDescent="0.25">
      <c r="A642" s="21">
        <v>41337</v>
      </c>
      <c r="B642">
        <v>18081.450499999999</v>
      </c>
    </row>
    <row r="643" spans="1:2" x14ac:dyDescent="0.25">
      <c r="A643" s="21">
        <v>41338</v>
      </c>
      <c r="B643">
        <v>9296.4735999999994</v>
      </c>
    </row>
    <row r="644" spans="1:2" x14ac:dyDescent="0.25">
      <c r="A644" s="21">
        <v>41339</v>
      </c>
      <c r="B644">
        <v>20808.8194</v>
      </c>
    </row>
    <row r="645" spans="1:2" x14ac:dyDescent="0.25">
      <c r="A645" s="21">
        <v>41340</v>
      </c>
      <c r="B645">
        <v>26211.5756</v>
      </c>
    </row>
    <row r="646" spans="1:2" x14ac:dyDescent="0.25">
      <c r="A646" s="21">
        <v>41341</v>
      </c>
      <c r="B646">
        <v>21127.3851</v>
      </c>
    </row>
    <row r="647" spans="1:2" x14ac:dyDescent="0.25">
      <c r="A647" s="21">
        <v>41342</v>
      </c>
      <c r="B647">
        <v>13610.1867</v>
      </c>
    </row>
    <row r="648" spans="1:2" x14ac:dyDescent="0.25">
      <c r="A648" s="21">
        <v>41343</v>
      </c>
      <c r="B648">
        <v>26594.7572</v>
      </c>
    </row>
    <row r="649" spans="1:2" x14ac:dyDescent="0.25">
      <c r="A649" s="21">
        <v>41344</v>
      </c>
      <c r="B649">
        <v>13947.9719</v>
      </c>
    </row>
    <row r="650" spans="1:2" x14ac:dyDescent="0.25">
      <c r="A650" s="21">
        <v>41345</v>
      </c>
      <c r="B650">
        <v>32489.581699999999</v>
      </c>
    </row>
    <row r="651" spans="1:2" x14ac:dyDescent="0.25">
      <c r="A651" s="21">
        <v>41346</v>
      </c>
      <c r="B651">
        <v>15131.4072</v>
      </c>
    </row>
    <row r="652" spans="1:2" x14ac:dyDescent="0.25">
      <c r="A652" s="21">
        <v>41347</v>
      </c>
      <c r="B652">
        <v>18499.989600000001</v>
      </c>
    </row>
    <row r="653" spans="1:2" x14ac:dyDescent="0.25">
      <c r="A653" s="21">
        <v>41348</v>
      </c>
      <c r="B653">
        <v>15371.686600000001</v>
      </c>
    </row>
    <row r="654" spans="1:2" x14ac:dyDescent="0.25">
      <c r="A654" s="21">
        <v>41349</v>
      </c>
      <c r="B654">
        <v>28469.434799999999</v>
      </c>
    </row>
    <row r="655" spans="1:2" x14ac:dyDescent="0.25">
      <c r="A655" s="21">
        <v>41350</v>
      </c>
      <c r="B655">
        <v>24867.4856</v>
      </c>
    </row>
    <row r="656" spans="1:2" x14ac:dyDescent="0.25">
      <c r="A656" s="21">
        <v>41351</v>
      </c>
      <c r="B656">
        <v>12259.3127</v>
      </c>
    </row>
    <row r="657" spans="1:2" x14ac:dyDescent="0.25">
      <c r="A657" s="21">
        <v>41352</v>
      </c>
      <c r="B657">
        <v>15218.0666</v>
      </c>
    </row>
    <row r="658" spans="1:2" x14ac:dyDescent="0.25">
      <c r="A658" s="21">
        <v>41353</v>
      </c>
      <c r="B658">
        <v>6111.7219999999998</v>
      </c>
    </row>
    <row r="659" spans="1:2" x14ac:dyDescent="0.25">
      <c r="A659" s="21">
        <v>41354</v>
      </c>
      <c r="B659">
        <v>9341.1784000000007</v>
      </c>
    </row>
    <row r="660" spans="1:2" x14ac:dyDescent="0.25">
      <c r="A660" s="21">
        <v>41355</v>
      </c>
      <c r="B660">
        <v>11226.5414</v>
      </c>
    </row>
    <row r="661" spans="1:2" x14ac:dyDescent="0.25">
      <c r="A661" s="21">
        <v>41356</v>
      </c>
      <c r="B661">
        <v>30911.120900000002</v>
      </c>
    </row>
    <row r="662" spans="1:2" x14ac:dyDescent="0.25">
      <c r="A662" s="21">
        <v>41357</v>
      </c>
      <c r="B662">
        <v>25767.345399999998</v>
      </c>
    </row>
    <row r="663" spans="1:2" x14ac:dyDescent="0.25">
      <c r="A663" s="21">
        <v>41358</v>
      </c>
      <c r="B663">
        <v>12635.581700000001</v>
      </c>
    </row>
    <row r="664" spans="1:2" x14ac:dyDescent="0.25">
      <c r="A664" s="21">
        <v>41359</v>
      </c>
      <c r="B664">
        <v>21658.403300000002</v>
      </c>
    </row>
    <row r="665" spans="1:2" x14ac:dyDescent="0.25">
      <c r="A665" s="21">
        <v>41360</v>
      </c>
      <c r="B665">
        <v>17614.745900000002</v>
      </c>
    </row>
    <row r="666" spans="1:2" x14ac:dyDescent="0.25">
      <c r="A666" s="21">
        <v>41361</v>
      </c>
      <c r="B666">
        <v>12718.6772</v>
      </c>
    </row>
    <row r="667" spans="1:2" x14ac:dyDescent="0.25">
      <c r="A667" s="21">
        <v>41362</v>
      </c>
      <c r="B667">
        <v>18998.786700000001</v>
      </c>
    </row>
    <row r="668" spans="1:2" x14ac:dyDescent="0.25">
      <c r="A668" s="21">
        <v>41363</v>
      </c>
      <c r="B668">
        <v>3268899.8352000001</v>
      </c>
    </row>
    <row r="669" spans="1:2" x14ac:dyDescent="0.25">
      <c r="A669" s="21">
        <v>41364</v>
      </c>
      <c r="B669">
        <v>24167.227299999999</v>
      </c>
    </row>
    <row r="670" spans="1:2" x14ac:dyDescent="0.25">
      <c r="A670" s="21">
        <v>41365</v>
      </c>
      <c r="B670">
        <v>23543.7114</v>
      </c>
    </row>
    <row r="671" spans="1:2" x14ac:dyDescent="0.25">
      <c r="A671" s="21">
        <v>41366</v>
      </c>
      <c r="B671">
        <v>18862.7971</v>
      </c>
    </row>
    <row r="672" spans="1:2" x14ac:dyDescent="0.25">
      <c r="A672" s="21">
        <v>41367</v>
      </c>
      <c r="B672">
        <v>22822.744600000002</v>
      </c>
    </row>
    <row r="673" spans="1:2" x14ac:dyDescent="0.25">
      <c r="A673" s="21">
        <v>41368</v>
      </c>
      <c r="B673">
        <v>27600.2418</v>
      </c>
    </row>
    <row r="674" spans="1:2" x14ac:dyDescent="0.25">
      <c r="A674" s="21">
        <v>41369</v>
      </c>
      <c r="B674">
        <v>18695.229800000001</v>
      </c>
    </row>
    <row r="675" spans="1:2" x14ac:dyDescent="0.25">
      <c r="A675" s="21">
        <v>41370</v>
      </c>
      <c r="B675">
        <v>28613.491600000001</v>
      </c>
    </row>
    <row r="676" spans="1:2" x14ac:dyDescent="0.25">
      <c r="A676" s="21">
        <v>41371</v>
      </c>
      <c r="B676">
        <v>13845.3549</v>
      </c>
    </row>
    <row r="677" spans="1:2" x14ac:dyDescent="0.25">
      <c r="A677" s="21">
        <v>41372</v>
      </c>
      <c r="B677">
        <v>11345.1129</v>
      </c>
    </row>
    <row r="678" spans="1:2" x14ac:dyDescent="0.25">
      <c r="A678" s="21">
        <v>41373</v>
      </c>
      <c r="B678">
        <v>21332.616000000002</v>
      </c>
    </row>
    <row r="679" spans="1:2" x14ac:dyDescent="0.25">
      <c r="A679" s="21">
        <v>41374</v>
      </c>
      <c r="B679">
        <v>23962.9421</v>
      </c>
    </row>
    <row r="680" spans="1:2" x14ac:dyDescent="0.25">
      <c r="A680" s="21">
        <v>41375</v>
      </c>
      <c r="B680">
        <v>12949.522000000001</v>
      </c>
    </row>
    <row r="681" spans="1:2" x14ac:dyDescent="0.25">
      <c r="A681" s="21">
        <v>41376</v>
      </c>
      <c r="B681">
        <v>18412.8089</v>
      </c>
    </row>
    <row r="682" spans="1:2" x14ac:dyDescent="0.25">
      <c r="A682" s="21">
        <v>41377</v>
      </c>
      <c r="B682">
        <v>17533.323199999999</v>
      </c>
    </row>
    <row r="683" spans="1:2" x14ac:dyDescent="0.25">
      <c r="A683" s="21">
        <v>41378</v>
      </c>
      <c r="B683">
        <v>13434.371800000001</v>
      </c>
    </row>
    <row r="684" spans="1:2" x14ac:dyDescent="0.25">
      <c r="A684" s="21">
        <v>41379</v>
      </c>
      <c r="B684">
        <v>14620.943499999999</v>
      </c>
    </row>
    <row r="685" spans="1:2" x14ac:dyDescent="0.25">
      <c r="A685" s="21">
        <v>41380</v>
      </c>
      <c r="B685">
        <v>5110.5284000000001</v>
      </c>
    </row>
    <row r="686" spans="1:2" x14ac:dyDescent="0.25">
      <c r="A686" s="21">
        <v>41381</v>
      </c>
      <c r="B686">
        <v>14935.704</v>
      </c>
    </row>
    <row r="687" spans="1:2" x14ac:dyDescent="0.25">
      <c r="A687" s="21">
        <v>41382</v>
      </c>
      <c r="B687">
        <v>18015.345600000001</v>
      </c>
    </row>
    <row r="688" spans="1:2" x14ac:dyDescent="0.25">
      <c r="A688" s="21">
        <v>41383</v>
      </c>
      <c r="B688">
        <v>19585.098900000001</v>
      </c>
    </row>
    <row r="689" spans="1:2" x14ac:dyDescent="0.25">
      <c r="A689" s="21">
        <v>41384</v>
      </c>
      <c r="B689">
        <v>22637.7592</v>
      </c>
    </row>
    <row r="690" spans="1:2" x14ac:dyDescent="0.25">
      <c r="A690" s="21">
        <v>41385</v>
      </c>
      <c r="B690">
        <v>23824.330900000001</v>
      </c>
    </row>
    <row r="691" spans="1:2" x14ac:dyDescent="0.25">
      <c r="A691" s="21">
        <v>41386</v>
      </c>
      <c r="B691">
        <v>28879.565299999998</v>
      </c>
    </row>
    <row r="692" spans="1:2" x14ac:dyDescent="0.25">
      <c r="A692" s="21">
        <v>41387</v>
      </c>
      <c r="B692">
        <v>12450.596299999999</v>
      </c>
    </row>
    <row r="693" spans="1:2" x14ac:dyDescent="0.25">
      <c r="A693" s="21">
        <v>41388</v>
      </c>
      <c r="B693">
        <v>21753.1299</v>
      </c>
    </row>
    <row r="694" spans="1:2" x14ac:dyDescent="0.25">
      <c r="A694" s="21">
        <v>41389</v>
      </c>
      <c r="B694">
        <v>20186.512999999999</v>
      </c>
    </row>
    <row r="695" spans="1:2" x14ac:dyDescent="0.25">
      <c r="A695" s="21">
        <v>41390</v>
      </c>
      <c r="B695">
        <v>22352.569200000002</v>
      </c>
    </row>
    <row r="696" spans="1:2" x14ac:dyDescent="0.25">
      <c r="A696" s="21">
        <v>41391</v>
      </c>
      <c r="B696">
        <v>16837.150099999999</v>
      </c>
    </row>
    <row r="697" spans="1:2" x14ac:dyDescent="0.25">
      <c r="A697" s="21">
        <v>41392</v>
      </c>
      <c r="B697">
        <v>29920.4362</v>
      </c>
    </row>
    <row r="698" spans="1:2" x14ac:dyDescent="0.25">
      <c r="A698" s="21">
        <v>41393</v>
      </c>
      <c r="B698">
        <v>29234.125199999999</v>
      </c>
    </row>
    <row r="699" spans="1:2" x14ac:dyDescent="0.25">
      <c r="A699" s="21">
        <v>41394</v>
      </c>
      <c r="B699">
        <v>2267413.1096000001</v>
      </c>
    </row>
    <row r="700" spans="1:2" x14ac:dyDescent="0.25">
      <c r="A700" s="21">
        <v>41395</v>
      </c>
      <c r="B700">
        <v>24418.317599999998</v>
      </c>
    </row>
    <row r="701" spans="1:2" x14ac:dyDescent="0.25">
      <c r="A701" s="21">
        <v>41396</v>
      </c>
      <c r="B701">
        <v>10874.5448</v>
      </c>
    </row>
    <row r="702" spans="1:2" x14ac:dyDescent="0.25">
      <c r="A702" s="21">
        <v>41397</v>
      </c>
      <c r="B702">
        <v>14396.6186</v>
      </c>
    </row>
    <row r="703" spans="1:2" x14ac:dyDescent="0.25">
      <c r="A703" s="21">
        <v>41398</v>
      </c>
      <c r="B703">
        <v>13218.4231</v>
      </c>
    </row>
    <row r="704" spans="1:2" x14ac:dyDescent="0.25">
      <c r="A704" s="21">
        <v>41399</v>
      </c>
      <c r="B704">
        <v>22886.749199999998</v>
      </c>
    </row>
    <row r="705" spans="1:2" x14ac:dyDescent="0.25">
      <c r="A705" s="21">
        <v>41400</v>
      </c>
      <c r="B705">
        <v>19169.824799999999</v>
      </c>
    </row>
    <row r="706" spans="1:2" x14ac:dyDescent="0.25">
      <c r="A706" s="21">
        <v>41401</v>
      </c>
      <c r="B706">
        <v>34520.802900000002</v>
      </c>
    </row>
    <row r="707" spans="1:2" x14ac:dyDescent="0.25">
      <c r="A707" s="21">
        <v>41402</v>
      </c>
      <c r="B707">
        <v>15175.983399999999</v>
      </c>
    </row>
    <row r="708" spans="1:2" x14ac:dyDescent="0.25">
      <c r="A708" s="21">
        <v>41403</v>
      </c>
      <c r="B708">
        <v>27049.3125</v>
      </c>
    </row>
    <row r="709" spans="1:2" x14ac:dyDescent="0.25">
      <c r="A709" s="21">
        <v>41404</v>
      </c>
      <c r="B709">
        <v>22481.524099999999</v>
      </c>
    </row>
    <row r="710" spans="1:2" x14ac:dyDescent="0.25">
      <c r="A710" s="21">
        <v>41405</v>
      </c>
      <c r="B710">
        <v>23440.6345</v>
      </c>
    </row>
    <row r="711" spans="1:2" x14ac:dyDescent="0.25">
      <c r="A711" s="21">
        <v>41406</v>
      </c>
      <c r="B711">
        <v>21322.7539</v>
      </c>
    </row>
    <row r="712" spans="1:2" x14ac:dyDescent="0.25">
      <c r="A712" s="21">
        <v>41407</v>
      </c>
      <c r="B712">
        <v>19048.116900000001</v>
      </c>
    </row>
    <row r="713" spans="1:2" x14ac:dyDescent="0.25">
      <c r="A713" s="21">
        <v>41408</v>
      </c>
      <c r="B713">
        <v>27777.372299999999</v>
      </c>
    </row>
    <row r="714" spans="1:2" x14ac:dyDescent="0.25">
      <c r="A714" s="21">
        <v>41409</v>
      </c>
      <c r="B714">
        <v>11340.821900000001</v>
      </c>
    </row>
    <row r="715" spans="1:2" x14ac:dyDescent="0.25">
      <c r="A715" s="21">
        <v>41410</v>
      </c>
      <c r="B715">
        <v>19268.022199999999</v>
      </c>
    </row>
    <row r="716" spans="1:2" x14ac:dyDescent="0.25">
      <c r="A716" s="21">
        <v>41411</v>
      </c>
      <c r="B716">
        <v>16501.500700000001</v>
      </c>
    </row>
    <row r="717" spans="1:2" x14ac:dyDescent="0.25">
      <c r="A717" s="21">
        <v>41412</v>
      </c>
      <c r="B717">
        <v>26039.7173</v>
      </c>
    </row>
    <row r="718" spans="1:2" x14ac:dyDescent="0.25">
      <c r="A718" s="21">
        <v>41413</v>
      </c>
      <c r="B718">
        <v>18036.5399</v>
      </c>
    </row>
    <row r="719" spans="1:2" x14ac:dyDescent="0.25">
      <c r="A719" s="21">
        <v>41414</v>
      </c>
      <c r="B719">
        <v>27091.5795</v>
      </c>
    </row>
    <row r="720" spans="1:2" x14ac:dyDescent="0.25">
      <c r="A720" s="21">
        <v>41415</v>
      </c>
      <c r="B720">
        <v>10088.9655</v>
      </c>
    </row>
    <row r="721" spans="1:2" x14ac:dyDescent="0.25">
      <c r="A721" s="21">
        <v>41416</v>
      </c>
      <c r="B721">
        <v>17439.416799999999</v>
      </c>
    </row>
    <row r="722" spans="1:2" x14ac:dyDescent="0.25">
      <c r="A722" s="21">
        <v>41417</v>
      </c>
      <c r="B722">
        <v>21484.228800000001</v>
      </c>
    </row>
    <row r="723" spans="1:2" x14ac:dyDescent="0.25">
      <c r="A723" s="21">
        <v>41418</v>
      </c>
      <c r="B723">
        <v>17414.751700000001</v>
      </c>
    </row>
    <row r="724" spans="1:2" x14ac:dyDescent="0.25">
      <c r="A724" s="21">
        <v>41419</v>
      </c>
      <c r="B724">
        <v>12904.4828</v>
      </c>
    </row>
    <row r="725" spans="1:2" x14ac:dyDescent="0.25">
      <c r="A725" s="21">
        <v>41420</v>
      </c>
      <c r="B725">
        <v>31377.063600000001</v>
      </c>
    </row>
    <row r="726" spans="1:2" x14ac:dyDescent="0.25">
      <c r="A726" s="21">
        <v>41421</v>
      </c>
      <c r="B726">
        <v>23821.323100000001</v>
      </c>
    </row>
    <row r="727" spans="1:2" x14ac:dyDescent="0.25">
      <c r="A727" s="21">
        <v>41422</v>
      </c>
      <c r="B727">
        <v>14597.098599999999</v>
      </c>
    </row>
    <row r="728" spans="1:2" x14ac:dyDescent="0.25">
      <c r="A728" s="21">
        <v>41423</v>
      </c>
      <c r="B728">
        <v>21610.227699999999</v>
      </c>
    </row>
    <row r="729" spans="1:2" x14ac:dyDescent="0.25">
      <c r="A729" s="21">
        <v>41424</v>
      </c>
      <c r="B729">
        <v>3045574.4293</v>
      </c>
    </row>
    <row r="730" spans="1:2" x14ac:dyDescent="0.25">
      <c r="A730" s="21">
        <v>41425</v>
      </c>
      <c r="B730">
        <v>27713.7981</v>
      </c>
    </row>
    <row r="731" spans="1:2" x14ac:dyDescent="0.25">
      <c r="A731" s="21">
        <v>41426</v>
      </c>
      <c r="B731">
        <v>38471.017500000002</v>
      </c>
    </row>
    <row r="732" spans="1:2" x14ac:dyDescent="0.25">
      <c r="A732" s="21">
        <v>41427</v>
      </c>
      <c r="B732">
        <v>47985.4323</v>
      </c>
    </row>
    <row r="733" spans="1:2" x14ac:dyDescent="0.25">
      <c r="A733" s="21">
        <v>41428</v>
      </c>
      <c r="B733">
        <v>32549.156800000001</v>
      </c>
    </row>
    <row r="734" spans="1:2" x14ac:dyDescent="0.25">
      <c r="A734" s="21">
        <v>41429</v>
      </c>
      <c r="B734">
        <v>14116.739799999999</v>
      </c>
    </row>
    <row r="735" spans="1:2" x14ac:dyDescent="0.25">
      <c r="A735" s="21">
        <v>41430</v>
      </c>
      <c r="B735">
        <v>36142.837599999999</v>
      </c>
    </row>
    <row r="736" spans="1:2" x14ac:dyDescent="0.25">
      <c r="A736" s="21">
        <v>41431</v>
      </c>
      <c r="B736">
        <v>30243.120999999999</v>
      </c>
    </row>
    <row r="737" spans="1:2" x14ac:dyDescent="0.25">
      <c r="A737" s="21">
        <v>41432</v>
      </c>
      <c r="B737">
        <v>36112.991800000003</v>
      </c>
    </row>
    <row r="738" spans="1:2" x14ac:dyDescent="0.25">
      <c r="A738" s="21">
        <v>41433</v>
      </c>
      <c r="B738">
        <v>24074.6574</v>
      </c>
    </row>
    <row r="739" spans="1:2" x14ac:dyDescent="0.25">
      <c r="A739" s="21">
        <v>41434</v>
      </c>
      <c r="B739">
        <v>47830.743399999999</v>
      </c>
    </row>
    <row r="740" spans="1:2" x14ac:dyDescent="0.25">
      <c r="A740" s="21">
        <v>41435</v>
      </c>
      <c r="B740">
        <v>25155.977299999999</v>
      </c>
    </row>
    <row r="741" spans="1:2" x14ac:dyDescent="0.25">
      <c r="A741" s="21">
        <v>41436</v>
      </c>
      <c r="B741">
        <v>32857.33</v>
      </c>
    </row>
    <row r="742" spans="1:2" x14ac:dyDescent="0.25">
      <c r="A742" s="21">
        <v>41437</v>
      </c>
      <c r="B742">
        <v>29993.832900000001</v>
      </c>
    </row>
    <row r="743" spans="1:2" x14ac:dyDescent="0.25">
      <c r="A743" s="21">
        <v>41438</v>
      </c>
      <c r="B743">
        <v>34025.237800000003</v>
      </c>
    </row>
    <row r="744" spans="1:2" x14ac:dyDescent="0.25">
      <c r="A744" s="21">
        <v>41439</v>
      </c>
      <c r="B744">
        <v>26687.650799999999</v>
      </c>
    </row>
    <row r="745" spans="1:2" x14ac:dyDescent="0.25">
      <c r="A745" s="21">
        <v>41440</v>
      </c>
      <c r="B745">
        <v>32411.926500000001</v>
      </c>
    </row>
    <row r="746" spans="1:2" x14ac:dyDescent="0.25">
      <c r="A746" s="21">
        <v>41441</v>
      </c>
      <c r="B746">
        <v>18634.908100000001</v>
      </c>
    </row>
    <row r="747" spans="1:2" x14ac:dyDescent="0.25">
      <c r="A747" s="21">
        <v>41442</v>
      </c>
      <c r="B747">
        <v>19603.2307</v>
      </c>
    </row>
    <row r="748" spans="1:2" x14ac:dyDescent="0.25">
      <c r="A748" s="21">
        <v>41443</v>
      </c>
      <c r="B748">
        <v>47522.801700000004</v>
      </c>
    </row>
    <row r="749" spans="1:2" x14ac:dyDescent="0.25">
      <c r="A749" s="21">
        <v>41444</v>
      </c>
      <c r="B749">
        <v>11781.620500000001</v>
      </c>
    </row>
    <row r="750" spans="1:2" x14ac:dyDescent="0.25">
      <c r="A750" s="21">
        <v>41445</v>
      </c>
      <c r="B750">
        <v>32322.499100000001</v>
      </c>
    </row>
    <row r="751" spans="1:2" x14ac:dyDescent="0.25">
      <c r="A751" s="21">
        <v>41446</v>
      </c>
      <c r="B751">
        <v>30906.441500000001</v>
      </c>
    </row>
    <row r="752" spans="1:2" x14ac:dyDescent="0.25">
      <c r="A752" s="21">
        <v>41447</v>
      </c>
      <c r="B752">
        <v>51107.897100000002</v>
      </c>
    </row>
    <row r="753" spans="1:2" x14ac:dyDescent="0.25">
      <c r="A753" s="21">
        <v>41448</v>
      </c>
      <c r="B753">
        <v>27058.102200000001</v>
      </c>
    </row>
    <row r="754" spans="1:2" x14ac:dyDescent="0.25">
      <c r="A754" s="21">
        <v>41449</v>
      </c>
      <c r="B754">
        <v>41076.4859</v>
      </c>
    </row>
    <row r="755" spans="1:2" x14ac:dyDescent="0.25">
      <c r="A755" s="21">
        <v>41450</v>
      </c>
      <c r="B755">
        <v>22169.880499999999</v>
      </c>
    </row>
    <row r="756" spans="1:2" x14ac:dyDescent="0.25">
      <c r="A756" s="21">
        <v>41451</v>
      </c>
      <c r="B756">
        <v>23945.803400000001</v>
      </c>
    </row>
    <row r="757" spans="1:2" x14ac:dyDescent="0.25">
      <c r="A757" s="21">
        <v>41452</v>
      </c>
      <c r="B757">
        <v>51122.947</v>
      </c>
    </row>
    <row r="758" spans="1:2" x14ac:dyDescent="0.25">
      <c r="A758" s="21">
        <v>41453</v>
      </c>
      <c r="B758">
        <v>23476.443599999999</v>
      </c>
    </row>
    <row r="759" spans="1:2" x14ac:dyDescent="0.25">
      <c r="A759" s="21">
        <v>41454</v>
      </c>
      <c r="B759">
        <v>36266.763500000001</v>
      </c>
    </row>
    <row r="760" spans="1:2" x14ac:dyDescent="0.25">
      <c r="A760" s="21">
        <v>41455</v>
      </c>
      <c r="B760">
        <v>4800610.7857999997</v>
      </c>
    </row>
    <row r="761" spans="1:2" x14ac:dyDescent="0.25">
      <c r="A761" s="21">
        <v>41456</v>
      </c>
      <c r="B761">
        <v>19386.839400000001</v>
      </c>
    </row>
    <row r="762" spans="1:2" x14ac:dyDescent="0.25">
      <c r="A762" s="21">
        <v>41457</v>
      </c>
      <c r="B762">
        <v>38628.944900000002</v>
      </c>
    </row>
    <row r="763" spans="1:2" x14ac:dyDescent="0.25">
      <c r="A763" s="21">
        <v>41458</v>
      </c>
      <c r="B763">
        <v>25732.069899999999</v>
      </c>
    </row>
    <row r="764" spans="1:2" x14ac:dyDescent="0.25">
      <c r="A764" s="21">
        <v>41459</v>
      </c>
      <c r="B764">
        <v>11748.3169</v>
      </c>
    </row>
    <row r="765" spans="1:2" x14ac:dyDescent="0.25">
      <c r="A765" s="21">
        <v>41460</v>
      </c>
      <c r="B765">
        <v>34963.350200000001</v>
      </c>
    </row>
    <row r="766" spans="1:2" x14ac:dyDescent="0.25">
      <c r="A766" s="21">
        <v>41461</v>
      </c>
      <c r="B766">
        <v>44003.201099999998</v>
      </c>
    </row>
    <row r="767" spans="1:2" x14ac:dyDescent="0.25">
      <c r="A767" s="21">
        <v>41462</v>
      </c>
      <c r="B767">
        <v>45360.373500000002</v>
      </c>
    </row>
    <row r="768" spans="1:2" x14ac:dyDescent="0.25">
      <c r="A768" s="21">
        <v>41463</v>
      </c>
      <c r="B768">
        <v>40335.252899999999</v>
      </c>
    </row>
    <row r="769" spans="1:2" x14ac:dyDescent="0.25">
      <c r="A769" s="21">
        <v>41464</v>
      </c>
      <c r="B769">
        <v>10228.853300000001</v>
      </c>
    </row>
    <row r="770" spans="1:2" x14ac:dyDescent="0.25">
      <c r="A770" s="21">
        <v>41465</v>
      </c>
      <c r="B770">
        <v>25903.388900000002</v>
      </c>
    </row>
    <row r="771" spans="1:2" x14ac:dyDescent="0.25">
      <c r="A771" s="21">
        <v>41466</v>
      </c>
      <c r="B771">
        <v>43071.6639</v>
      </c>
    </row>
    <row r="772" spans="1:2" x14ac:dyDescent="0.25">
      <c r="A772" s="21">
        <v>41467</v>
      </c>
      <c r="B772">
        <v>29995.977699999999</v>
      </c>
    </row>
    <row r="773" spans="1:2" x14ac:dyDescent="0.25">
      <c r="A773" s="21">
        <v>41468</v>
      </c>
      <c r="B773">
        <v>24702.2101</v>
      </c>
    </row>
    <row r="774" spans="1:2" x14ac:dyDescent="0.25">
      <c r="A774" s="21">
        <v>41469</v>
      </c>
      <c r="B774">
        <v>9873.7615000000005</v>
      </c>
    </row>
    <row r="775" spans="1:2" x14ac:dyDescent="0.25">
      <c r="A775" s="21">
        <v>41470</v>
      </c>
      <c r="B775">
        <v>27314.363700000002</v>
      </c>
    </row>
    <row r="776" spans="1:2" x14ac:dyDescent="0.25">
      <c r="A776" s="21">
        <v>41471</v>
      </c>
      <c r="B776">
        <v>33954.054400000001</v>
      </c>
    </row>
    <row r="777" spans="1:2" x14ac:dyDescent="0.25">
      <c r="A777" s="21">
        <v>41472</v>
      </c>
      <c r="B777">
        <v>48422.349900000001</v>
      </c>
    </row>
    <row r="778" spans="1:2" x14ac:dyDescent="0.25">
      <c r="A778" s="21">
        <v>41473</v>
      </c>
      <c r="B778">
        <v>35948.833500000001</v>
      </c>
    </row>
    <row r="779" spans="1:2" x14ac:dyDescent="0.25">
      <c r="A779" s="21">
        <v>41474</v>
      </c>
      <c r="B779">
        <v>25247.593000000001</v>
      </c>
    </row>
    <row r="780" spans="1:2" x14ac:dyDescent="0.25">
      <c r="A780" s="21">
        <v>41475</v>
      </c>
      <c r="B780">
        <v>24540.205900000001</v>
      </c>
    </row>
    <row r="781" spans="1:2" x14ac:dyDescent="0.25">
      <c r="A781" s="21">
        <v>41476</v>
      </c>
      <c r="B781">
        <v>18323.8514</v>
      </c>
    </row>
    <row r="782" spans="1:2" x14ac:dyDescent="0.25">
      <c r="A782" s="21">
        <v>41477</v>
      </c>
      <c r="B782">
        <v>26264.348300000001</v>
      </c>
    </row>
    <row r="783" spans="1:2" x14ac:dyDescent="0.25">
      <c r="A783" s="21">
        <v>41478</v>
      </c>
      <c r="B783">
        <v>42425.835700000003</v>
      </c>
    </row>
    <row r="784" spans="1:2" x14ac:dyDescent="0.25">
      <c r="A784" s="21">
        <v>41479</v>
      </c>
      <c r="B784">
        <v>37655.263599999998</v>
      </c>
    </row>
    <row r="785" spans="1:2" x14ac:dyDescent="0.25">
      <c r="A785" s="21">
        <v>41480</v>
      </c>
      <c r="B785">
        <v>36957.6322</v>
      </c>
    </row>
    <row r="786" spans="1:2" x14ac:dyDescent="0.25">
      <c r="A786" s="21">
        <v>41481</v>
      </c>
      <c r="B786">
        <v>18301.884099999999</v>
      </c>
    </row>
    <row r="787" spans="1:2" x14ac:dyDescent="0.25">
      <c r="A787" s="21">
        <v>41482</v>
      </c>
      <c r="B787">
        <v>32748.720499999999</v>
      </c>
    </row>
    <row r="788" spans="1:2" x14ac:dyDescent="0.25">
      <c r="A788" s="21">
        <v>41483</v>
      </c>
      <c r="B788">
        <v>37427.522599999997</v>
      </c>
    </row>
    <row r="789" spans="1:2" x14ac:dyDescent="0.25">
      <c r="A789" s="21">
        <v>41484</v>
      </c>
      <c r="B789">
        <v>34129.572699999997</v>
      </c>
    </row>
    <row r="790" spans="1:2" x14ac:dyDescent="0.25">
      <c r="A790" s="21">
        <v>41485</v>
      </c>
      <c r="B790">
        <v>27994.248200000002</v>
      </c>
    </row>
    <row r="791" spans="1:2" x14ac:dyDescent="0.25">
      <c r="A791" s="21">
        <v>41486</v>
      </c>
      <c r="B791">
        <v>4610250.3606000002</v>
      </c>
    </row>
    <row r="792" spans="1:2" x14ac:dyDescent="0.25">
      <c r="A792" s="21">
        <v>41487</v>
      </c>
      <c r="B792">
        <v>43947.066899999998</v>
      </c>
    </row>
    <row r="793" spans="1:2" x14ac:dyDescent="0.25">
      <c r="A793" s="21">
        <v>41488</v>
      </c>
      <c r="B793">
        <v>44006.217400000001</v>
      </c>
    </row>
    <row r="794" spans="1:2" x14ac:dyDescent="0.25">
      <c r="A794" s="21">
        <v>41489</v>
      </c>
      <c r="B794">
        <v>30803.125100000001</v>
      </c>
    </row>
    <row r="795" spans="1:2" x14ac:dyDescent="0.25">
      <c r="A795" s="21">
        <v>41490</v>
      </c>
      <c r="B795">
        <v>41349.885399999999</v>
      </c>
    </row>
    <row r="796" spans="1:2" x14ac:dyDescent="0.25">
      <c r="A796" s="21">
        <v>41491</v>
      </c>
      <c r="B796">
        <v>38390.496800000001</v>
      </c>
    </row>
    <row r="797" spans="1:2" x14ac:dyDescent="0.25">
      <c r="A797" s="21">
        <v>41492</v>
      </c>
      <c r="B797">
        <v>34218.425799999997</v>
      </c>
    </row>
    <row r="798" spans="1:2" x14ac:dyDescent="0.25">
      <c r="A798" s="21">
        <v>41493</v>
      </c>
      <c r="B798">
        <v>39810.621099999997</v>
      </c>
    </row>
    <row r="799" spans="1:2" x14ac:dyDescent="0.25">
      <c r="A799" s="21">
        <v>41494</v>
      </c>
      <c r="B799">
        <v>43769.890800000001</v>
      </c>
    </row>
    <row r="800" spans="1:2" x14ac:dyDescent="0.25">
      <c r="A800" s="21">
        <v>41495</v>
      </c>
      <c r="B800">
        <v>35197.267500000002</v>
      </c>
    </row>
    <row r="801" spans="1:2" x14ac:dyDescent="0.25">
      <c r="A801" s="21">
        <v>41496</v>
      </c>
      <c r="B801">
        <v>24327.172500000001</v>
      </c>
    </row>
    <row r="802" spans="1:2" x14ac:dyDescent="0.25">
      <c r="A802" s="21">
        <v>41497</v>
      </c>
      <c r="B802">
        <v>43018.2039</v>
      </c>
    </row>
    <row r="803" spans="1:2" x14ac:dyDescent="0.25">
      <c r="A803" s="21">
        <v>41498</v>
      </c>
      <c r="B803">
        <v>61861.592400000001</v>
      </c>
    </row>
    <row r="804" spans="1:2" x14ac:dyDescent="0.25">
      <c r="A804" s="21">
        <v>41499</v>
      </c>
      <c r="B804">
        <v>40129.955099999999</v>
      </c>
    </row>
    <row r="805" spans="1:2" x14ac:dyDescent="0.25">
      <c r="A805" s="21">
        <v>41500</v>
      </c>
      <c r="B805">
        <v>34996.002999999997</v>
      </c>
    </row>
    <row r="806" spans="1:2" x14ac:dyDescent="0.25">
      <c r="A806" s="21">
        <v>41501</v>
      </c>
      <c r="B806">
        <v>24552.858</v>
      </c>
    </row>
    <row r="807" spans="1:2" x14ac:dyDescent="0.25">
      <c r="A807" s="21">
        <v>41502</v>
      </c>
      <c r="B807">
        <v>28095.266899999999</v>
      </c>
    </row>
    <row r="808" spans="1:2" x14ac:dyDescent="0.25">
      <c r="A808" s="21">
        <v>41503</v>
      </c>
      <c r="B808">
        <v>35461.053999999996</v>
      </c>
    </row>
    <row r="809" spans="1:2" x14ac:dyDescent="0.25">
      <c r="A809" s="21">
        <v>41504</v>
      </c>
      <c r="B809">
        <v>63879.8194</v>
      </c>
    </row>
    <row r="810" spans="1:2" x14ac:dyDescent="0.25">
      <c r="A810" s="21">
        <v>41505</v>
      </c>
      <c r="B810">
        <v>51571.997799999997</v>
      </c>
    </row>
    <row r="811" spans="1:2" x14ac:dyDescent="0.25">
      <c r="A811" s="21">
        <v>41506</v>
      </c>
      <c r="B811">
        <v>26059.315600000002</v>
      </c>
    </row>
    <row r="812" spans="1:2" x14ac:dyDescent="0.25">
      <c r="A812" s="21">
        <v>41507</v>
      </c>
      <c r="B812">
        <v>45828.638599999998</v>
      </c>
    </row>
    <row r="813" spans="1:2" x14ac:dyDescent="0.25">
      <c r="A813" s="21">
        <v>41508</v>
      </c>
      <c r="B813">
        <v>40576.949099999998</v>
      </c>
    </row>
    <row r="814" spans="1:2" x14ac:dyDescent="0.25">
      <c r="A814" s="21">
        <v>41509</v>
      </c>
      <c r="B814">
        <v>28313.206300000002</v>
      </c>
    </row>
    <row r="815" spans="1:2" x14ac:dyDescent="0.25">
      <c r="A815" s="21">
        <v>41510</v>
      </c>
      <c r="B815">
        <v>34582.699800000002</v>
      </c>
    </row>
    <row r="816" spans="1:2" x14ac:dyDescent="0.25">
      <c r="A816" s="21">
        <v>41511</v>
      </c>
      <c r="B816">
        <v>31655.069100000001</v>
      </c>
    </row>
    <row r="817" spans="1:2" x14ac:dyDescent="0.25">
      <c r="A817" s="21">
        <v>41512</v>
      </c>
      <c r="B817">
        <v>42179.133300000001</v>
      </c>
    </row>
    <row r="818" spans="1:2" x14ac:dyDescent="0.25">
      <c r="A818" s="21">
        <v>41513</v>
      </c>
      <c r="B818">
        <v>24676.938600000001</v>
      </c>
    </row>
    <row r="819" spans="1:2" x14ac:dyDescent="0.25">
      <c r="A819" s="21">
        <v>41514</v>
      </c>
      <c r="B819">
        <v>25251.449799999999</v>
      </c>
    </row>
    <row r="820" spans="1:2" x14ac:dyDescent="0.25">
      <c r="A820" s="21">
        <v>41515</v>
      </c>
      <c r="B820">
        <v>33327.188000000002</v>
      </c>
    </row>
    <row r="821" spans="1:2" x14ac:dyDescent="0.25">
      <c r="A821" s="21">
        <v>41516</v>
      </c>
      <c r="B821">
        <v>2600274.2370000002</v>
      </c>
    </row>
    <row r="822" spans="1:2" x14ac:dyDescent="0.25">
      <c r="A822" s="21">
        <v>41517</v>
      </c>
      <c r="B822">
        <v>41861.258199999997</v>
      </c>
    </row>
    <row r="823" spans="1:2" x14ac:dyDescent="0.25">
      <c r="A823" s="21">
        <v>41518</v>
      </c>
      <c r="B823">
        <v>34368.959900000002</v>
      </c>
    </row>
    <row r="824" spans="1:2" x14ac:dyDescent="0.25">
      <c r="A824" s="21">
        <v>41519</v>
      </c>
      <c r="B824">
        <v>37849.223400000003</v>
      </c>
    </row>
    <row r="825" spans="1:2" x14ac:dyDescent="0.25">
      <c r="A825" s="21">
        <v>41520</v>
      </c>
      <c r="B825">
        <v>45079.6253</v>
      </c>
    </row>
    <row r="826" spans="1:2" x14ac:dyDescent="0.25">
      <c r="A826" s="21">
        <v>41521</v>
      </c>
      <c r="B826">
        <v>49693.034</v>
      </c>
    </row>
    <row r="827" spans="1:2" x14ac:dyDescent="0.25">
      <c r="A827" s="21">
        <v>41522</v>
      </c>
      <c r="B827">
        <v>28098.980100000001</v>
      </c>
    </row>
    <row r="828" spans="1:2" x14ac:dyDescent="0.25">
      <c r="A828" s="21">
        <v>41523</v>
      </c>
      <c r="B828">
        <v>50257.622799999997</v>
      </c>
    </row>
    <row r="829" spans="1:2" x14ac:dyDescent="0.25">
      <c r="A829" s="21">
        <v>41524</v>
      </c>
      <c r="B829">
        <v>43151.820599999999</v>
      </c>
    </row>
    <row r="830" spans="1:2" x14ac:dyDescent="0.25">
      <c r="A830" s="21">
        <v>41525</v>
      </c>
      <c r="B830">
        <v>30601.7611</v>
      </c>
    </row>
    <row r="831" spans="1:2" x14ac:dyDescent="0.25">
      <c r="A831" s="21">
        <v>41526</v>
      </c>
      <c r="B831">
        <v>43822.6325</v>
      </c>
    </row>
    <row r="832" spans="1:2" x14ac:dyDescent="0.25">
      <c r="A832" s="21">
        <v>41527</v>
      </c>
      <c r="B832">
        <v>41124.0795</v>
      </c>
    </row>
    <row r="833" spans="1:2" x14ac:dyDescent="0.25">
      <c r="A833" s="21">
        <v>41528</v>
      </c>
      <c r="B833">
        <v>37923.313999999998</v>
      </c>
    </row>
    <row r="834" spans="1:2" x14ac:dyDescent="0.25">
      <c r="A834" s="21">
        <v>41529</v>
      </c>
      <c r="B834">
        <v>41111.426800000001</v>
      </c>
    </row>
    <row r="835" spans="1:2" x14ac:dyDescent="0.25">
      <c r="A835" s="21">
        <v>41530</v>
      </c>
      <c r="B835">
        <v>41303.067199999998</v>
      </c>
    </row>
    <row r="836" spans="1:2" x14ac:dyDescent="0.25">
      <c r="A836" s="21">
        <v>41531</v>
      </c>
      <c r="B836">
        <v>29635.923999999999</v>
      </c>
    </row>
    <row r="837" spans="1:2" x14ac:dyDescent="0.25">
      <c r="A837" s="21">
        <v>41532</v>
      </c>
      <c r="B837">
        <v>40634.287799999998</v>
      </c>
    </row>
    <row r="838" spans="1:2" x14ac:dyDescent="0.25">
      <c r="A838" s="21">
        <v>41533</v>
      </c>
      <c r="B838">
        <v>50443.3511</v>
      </c>
    </row>
    <row r="839" spans="1:2" x14ac:dyDescent="0.25">
      <c r="A839" s="21">
        <v>41534</v>
      </c>
      <c r="B839">
        <v>43484.0936</v>
      </c>
    </row>
    <row r="840" spans="1:2" x14ac:dyDescent="0.25">
      <c r="A840" s="21">
        <v>41535</v>
      </c>
      <c r="B840">
        <v>24643.346699999998</v>
      </c>
    </row>
    <row r="841" spans="1:2" x14ac:dyDescent="0.25">
      <c r="A841" s="21">
        <v>41536</v>
      </c>
      <c r="B841">
        <v>37913.578999999998</v>
      </c>
    </row>
    <row r="842" spans="1:2" x14ac:dyDescent="0.25">
      <c r="A842" s="21">
        <v>41537</v>
      </c>
      <c r="B842">
        <v>47875.209300000002</v>
      </c>
    </row>
    <row r="843" spans="1:2" x14ac:dyDescent="0.25">
      <c r="A843" s="21">
        <v>41538</v>
      </c>
      <c r="B843">
        <v>42074.754999999997</v>
      </c>
    </row>
    <row r="844" spans="1:2" x14ac:dyDescent="0.25">
      <c r="A844" s="21">
        <v>41539</v>
      </c>
      <c r="B844">
        <v>19885.647499999999</v>
      </c>
    </row>
    <row r="845" spans="1:2" x14ac:dyDescent="0.25">
      <c r="A845" s="21">
        <v>41540</v>
      </c>
      <c r="B845">
        <v>30480.1443</v>
      </c>
    </row>
    <row r="846" spans="1:2" x14ac:dyDescent="0.25">
      <c r="A846" s="21">
        <v>41541</v>
      </c>
      <c r="B846">
        <v>49376.849099999999</v>
      </c>
    </row>
    <row r="847" spans="1:2" x14ac:dyDescent="0.25">
      <c r="A847" s="21">
        <v>41542</v>
      </c>
      <c r="B847">
        <v>34622.755799999999</v>
      </c>
    </row>
    <row r="848" spans="1:2" x14ac:dyDescent="0.25">
      <c r="A848" s="21">
        <v>41543</v>
      </c>
      <c r="B848">
        <v>39714.585299999999</v>
      </c>
    </row>
    <row r="849" spans="1:2" x14ac:dyDescent="0.25">
      <c r="A849" s="21">
        <v>41544</v>
      </c>
      <c r="B849">
        <v>30733.8194</v>
      </c>
    </row>
    <row r="850" spans="1:2" x14ac:dyDescent="0.25">
      <c r="A850" s="21">
        <v>41545</v>
      </c>
      <c r="B850">
        <v>39856.876199999999</v>
      </c>
    </row>
    <row r="851" spans="1:2" x14ac:dyDescent="0.25">
      <c r="A851" s="21">
        <v>41546</v>
      </c>
      <c r="B851">
        <v>39825.858699999997</v>
      </c>
    </row>
    <row r="852" spans="1:2" x14ac:dyDescent="0.25">
      <c r="A852" s="21">
        <v>41547</v>
      </c>
      <c r="B852">
        <v>3957918.7074000002</v>
      </c>
    </row>
    <row r="853" spans="1:2" x14ac:dyDescent="0.25">
      <c r="A853" s="21">
        <v>41548</v>
      </c>
      <c r="B853">
        <v>42015.880400000002</v>
      </c>
    </row>
    <row r="854" spans="1:2" x14ac:dyDescent="0.25">
      <c r="A854" s="21">
        <v>41549</v>
      </c>
      <c r="B854">
        <v>54234.948600000003</v>
      </c>
    </row>
    <row r="855" spans="1:2" x14ac:dyDescent="0.25">
      <c r="A855" s="21">
        <v>41550</v>
      </c>
      <c r="B855">
        <v>31466.578399999999</v>
      </c>
    </row>
    <row r="856" spans="1:2" x14ac:dyDescent="0.25">
      <c r="A856" s="21">
        <v>41551</v>
      </c>
      <c r="B856">
        <v>35887.042099999999</v>
      </c>
    </row>
    <row r="857" spans="1:2" x14ac:dyDescent="0.25">
      <c r="A857" s="21">
        <v>41552</v>
      </c>
      <c r="B857">
        <v>42832.641300000003</v>
      </c>
    </row>
    <row r="858" spans="1:2" x14ac:dyDescent="0.25">
      <c r="A858" s="21">
        <v>41553</v>
      </c>
      <c r="B858">
        <v>43430.501499999998</v>
      </c>
    </row>
    <row r="859" spans="1:2" x14ac:dyDescent="0.25">
      <c r="A859" s="21">
        <v>41554</v>
      </c>
      <c r="B859">
        <v>31371.194</v>
      </c>
    </row>
    <row r="860" spans="1:2" x14ac:dyDescent="0.25">
      <c r="A860" s="21">
        <v>41555</v>
      </c>
      <c r="B860">
        <v>51441.519500000002</v>
      </c>
    </row>
    <row r="861" spans="1:2" x14ac:dyDescent="0.25">
      <c r="A861" s="21">
        <v>41556</v>
      </c>
      <c r="B861">
        <v>58392.135199999997</v>
      </c>
    </row>
    <row r="862" spans="1:2" x14ac:dyDescent="0.25">
      <c r="A862" s="21">
        <v>41557</v>
      </c>
      <c r="B862">
        <v>20378.620699999999</v>
      </c>
    </row>
    <row r="863" spans="1:2" x14ac:dyDescent="0.25">
      <c r="A863" s="21">
        <v>41558</v>
      </c>
      <c r="B863">
        <v>40739.881600000001</v>
      </c>
    </row>
    <row r="864" spans="1:2" x14ac:dyDescent="0.25">
      <c r="A864" s="21">
        <v>41559</v>
      </c>
      <c r="B864">
        <v>39940.458599999998</v>
      </c>
    </row>
    <row r="865" spans="1:2" x14ac:dyDescent="0.25">
      <c r="A865" s="21">
        <v>41560</v>
      </c>
      <c r="B865">
        <v>39873.6391</v>
      </c>
    </row>
    <row r="866" spans="1:2" x14ac:dyDescent="0.25">
      <c r="A866" s="21">
        <v>41561</v>
      </c>
      <c r="B866">
        <v>46232.084999999999</v>
      </c>
    </row>
    <row r="867" spans="1:2" x14ac:dyDescent="0.25">
      <c r="A867" s="21">
        <v>41562</v>
      </c>
      <c r="B867">
        <v>42203.443399999996</v>
      </c>
    </row>
    <row r="868" spans="1:2" x14ac:dyDescent="0.25">
      <c r="A868" s="21">
        <v>41563</v>
      </c>
      <c r="B868">
        <v>45853.656000000003</v>
      </c>
    </row>
    <row r="869" spans="1:2" x14ac:dyDescent="0.25">
      <c r="A869" s="21">
        <v>41564</v>
      </c>
      <c r="B869">
        <v>43426.711199999998</v>
      </c>
    </row>
    <row r="870" spans="1:2" x14ac:dyDescent="0.25">
      <c r="A870" s="21">
        <v>41565</v>
      </c>
      <c r="B870">
        <v>48079.567999999999</v>
      </c>
    </row>
    <row r="871" spans="1:2" x14ac:dyDescent="0.25">
      <c r="A871" s="21">
        <v>41566</v>
      </c>
      <c r="B871">
        <v>29797.6518</v>
      </c>
    </row>
    <row r="872" spans="1:2" x14ac:dyDescent="0.25">
      <c r="A872" s="21">
        <v>41567</v>
      </c>
      <c r="B872">
        <v>42018.178999999996</v>
      </c>
    </row>
    <row r="873" spans="1:2" x14ac:dyDescent="0.25">
      <c r="A873" s="21">
        <v>41568</v>
      </c>
      <c r="B873">
        <v>64535.272499999999</v>
      </c>
    </row>
    <row r="874" spans="1:2" x14ac:dyDescent="0.25">
      <c r="A874" s="21">
        <v>41569</v>
      </c>
      <c r="B874">
        <v>41990.841200000003</v>
      </c>
    </row>
    <row r="875" spans="1:2" x14ac:dyDescent="0.25">
      <c r="A875" s="21">
        <v>41570</v>
      </c>
      <c r="B875">
        <v>67410.250400000004</v>
      </c>
    </row>
    <row r="876" spans="1:2" x14ac:dyDescent="0.25">
      <c r="A876" s="21">
        <v>41571</v>
      </c>
      <c r="B876">
        <v>38839.4804</v>
      </c>
    </row>
    <row r="877" spans="1:2" x14ac:dyDescent="0.25">
      <c r="A877" s="21">
        <v>41572</v>
      </c>
      <c r="B877">
        <v>47293.271800000002</v>
      </c>
    </row>
    <row r="878" spans="1:2" x14ac:dyDescent="0.25">
      <c r="A878" s="21">
        <v>41573</v>
      </c>
      <c r="B878">
        <v>55617.767899999999</v>
      </c>
    </row>
    <row r="879" spans="1:2" x14ac:dyDescent="0.25">
      <c r="A879" s="21">
        <v>41574</v>
      </c>
      <c r="B879">
        <v>59112.761299999998</v>
      </c>
    </row>
    <row r="880" spans="1:2" x14ac:dyDescent="0.25">
      <c r="A880" s="21">
        <v>41575</v>
      </c>
      <c r="B880">
        <v>50422.378299999997</v>
      </c>
    </row>
    <row r="881" spans="1:2" x14ac:dyDescent="0.25">
      <c r="A881" s="21">
        <v>41576</v>
      </c>
      <c r="B881">
        <v>37557.238599999997</v>
      </c>
    </row>
    <row r="882" spans="1:2" x14ac:dyDescent="0.25">
      <c r="A882" s="21">
        <v>41577</v>
      </c>
      <c r="B882">
        <v>4024573.8245000001</v>
      </c>
    </row>
    <row r="883" spans="1:2" x14ac:dyDescent="0.25">
      <c r="A883" s="21">
        <v>41578</v>
      </c>
      <c r="B883">
        <v>57406.519500000002</v>
      </c>
    </row>
    <row r="884" spans="1:2" x14ac:dyDescent="0.25">
      <c r="A884" s="21">
        <v>41579</v>
      </c>
      <c r="B884">
        <v>69543.684699999998</v>
      </c>
    </row>
    <row r="885" spans="1:2" x14ac:dyDescent="0.25">
      <c r="A885" s="21">
        <v>41580</v>
      </c>
      <c r="B885">
        <v>56712.5576</v>
      </c>
    </row>
    <row r="886" spans="1:2" x14ac:dyDescent="0.25">
      <c r="A886" s="21">
        <v>41581</v>
      </c>
      <c r="B886">
        <v>61677.432999999997</v>
      </c>
    </row>
    <row r="887" spans="1:2" x14ac:dyDescent="0.25">
      <c r="A887" s="21">
        <v>41582</v>
      </c>
      <c r="B887">
        <v>79975.990099999995</v>
      </c>
    </row>
    <row r="888" spans="1:2" x14ac:dyDescent="0.25">
      <c r="A888" s="21">
        <v>41583</v>
      </c>
      <c r="B888">
        <v>85482.072899999999</v>
      </c>
    </row>
    <row r="889" spans="1:2" x14ac:dyDescent="0.25">
      <c r="A889" s="21">
        <v>41584</v>
      </c>
      <c r="B889">
        <v>52419.002800000002</v>
      </c>
    </row>
    <row r="890" spans="1:2" x14ac:dyDescent="0.25">
      <c r="A890" s="21">
        <v>41585</v>
      </c>
      <c r="B890">
        <v>51612.6175</v>
      </c>
    </row>
    <row r="891" spans="1:2" x14ac:dyDescent="0.25">
      <c r="A891" s="21">
        <v>41586</v>
      </c>
      <c r="B891">
        <v>31450.577600000001</v>
      </c>
    </row>
    <row r="892" spans="1:2" x14ac:dyDescent="0.25">
      <c r="A892" s="21">
        <v>41587</v>
      </c>
      <c r="B892">
        <v>63857.973700000002</v>
      </c>
    </row>
    <row r="893" spans="1:2" x14ac:dyDescent="0.25">
      <c r="A893" s="21">
        <v>41588</v>
      </c>
      <c r="B893">
        <v>77032.3033</v>
      </c>
    </row>
    <row r="894" spans="1:2" x14ac:dyDescent="0.25">
      <c r="A894" s="21">
        <v>41589</v>
      </c>
      <c r="B894">
        <v>65362.630799999999</v>
      </c>
    </row>
    <row r="895" spans="1:2" x14ac:dyDescent="0.25">
      <c r="A895" s="21">
        <v>41590</v>
      </c>
      <c r="B895">
        <v>66662.220700000005</v>
      </c>
    </row>
    <row r="896" spans="1:2" x14ac:dyDescent="0.25">
      <c r="A896" s="21">
        <v>41591</v>
      </c>
      <c r="B896">
        <v>63714.500599999999</v>
      </c>
    </row>
    <row r="897" spans="1:2" x14ac:dyDescent="0.25">
      <c r="A897" s="21">
        <v>41592</v>
      </c>
      <c r="B897">
        <v>40656.3436</v>
      </c>
    </row>
    <row r="898" spans="1:2" x14ac:dyDescent="0.25">
      <c r="A898" s="21">
        <v>41593</v>
      </c>
      <c r="B898">
        <v>54967.574699999997</v>
      </c>
    </row>
    <row r="899" spans="1:2" x14ac:dyDescent="0.25">
      <c r="A899" s="21">
        <v>41594</v>
      </c>
      <c r="B899">
        <v>74122.031300000002</v>
      </c>
    </row>
    <row r="900" spans="1:2" x14ac:dyDescent="0.25">
      <c r="A900" s="21">
        <v>41595</v>
      </c>
      <c r="B900">
        <v>70444.359400000001</v>
      </c>
    </row>
    <row r="901" spans="1:2" x14ac:dyDescent="0.25">
      <c r="A901" s="21">
        <v>41596</v>
      </c>
      <c r="B901">
        <v>75094.343299999993</v>
      </c>
    </row>
    <row r="902" spans="1:2" x14ac:dyDescent="0.25">
      <c r="A902" s="21">
        <v>41597</v>
      </c>
      <c r="B902">
        <v>70582.042300000001</v>
      </c>
    </row>
    <row r="903" spans="1:2" x14ac:dyDescent="0.25">
      <c r="A903" s="21">
        <v>41598</v>
      </c>
      <c r="B903">
        <v>38328.3514</v>
      </c>
    </row>
    <row r="904" spans="1:2" x14ac:dyDescent="0.25">
      <c r="A904" s="21">
        <v>41599</v>
      </c>
      <c r="B904">
        <v>60675.330699999999</v>
      </c>
    </row>
    <row r="905" spans="1:2" x14ac:dyDescent="0.25">
      <c r="A905" s="21">
        <v>41600</v>
      </c>
      <c r="B905">
        <v>47804.732499999998</v>
      </c>
    </row>
    <row r="906" spans="1:2" x14ac:dyDescent="0.25">
      <c r="A906" s="21">
        <v>41601</v>
      </c>
      <c r="B906">
        <v>57013.094899999996</v>
      </c>
    </row>
    <row r="907" spans="1:2" x14ac:dyDescent="0.25">
      <c r="A907" s="21">
        <v>41602</v>
      </c>
      <c r="B907">
        <v>67062.065199999997</v>
      </c>
    </row>
    <row r="908" spans="1:2" x14ac:dyDescent="0.25">
      <c r="A908" s="21">
        <v>41603</v>
      </c>
      <c r="B908">
        <v>53469.603600000002</v>
      </c>
    </row>
    <row r="909" spans="1:2" x14ac:dyDescent="0.25">
      <c r="A909" s="21">
        <v>41604</v>
      </c>
      <c r="B909">
        <v>60616.898000000001</v>
      </c>
    </row>
    <row r="910" spans="1:2" x14ac:dyDescent="0.25">
      <c r="A910" s="21">
        <v>41605</v>
      </c>
      <c r="B910">
        <v>59620.751900000003</v>
      </c>
    </row>
    <row r="911" spans="1:2" x14ac:dyDescent="0.25">
      <c r="A911" s="21">
        <v>41606</v>
      </c>
      <c r="B911">
        <v>65916.732499999998</v>
      </c>
    </row>
    <row r="912" spans="1:2" x14ac:dyDescent="0.25">
      <c r="A912" s="21">
        <v>41607</v>
      </c>
      <c r="B912">
        <v>64668.082499999997</v>
      </c>
    </row>
    <row r="913" spans="1:2" x14ac:dyDescent="0.25">
      <c r="A913" s="21">
        <v>41608</v>
      </c>
      <c r="B913">
        <v>1908122.0967000001</v>
      </c>
    </row>
    <row r="914" spans="1:2" x14ac:dyDescent="0.25">
      <c r="A914" s="21">
        <v>41609</v>
      </c>
      <c r="B914">
        <v>46458.069100000001</v>
      </c>
    </row>
    <row r="915" spans="1:2" x14ac:dyDescent="0.25">
      <c r="A915" s="21">
        <v>41610</v>
      </c>
      <c r="B915">
        <v>51403.584799999997</v>
      </c>
    </row>
    <row r="916" spans="1:2" x14ac:dyDescent="0.25">
      <c r="A916" s="21">
        <v>41611</v>
      </c>
      <c r="B916">
        <v>43949.972800000003</v>
      </c>
    </row>
    <row r="917" spans="1:2" x14ac:dyDescent="0.25">
      <c r="A917" s="21">
        <v>41612</v>
      </c>
      <c r="B917">
        <v>42793.7451</v>
      </c>
    </row>
    <row r="918" spans="1:2" x14ac:dyDescent="0.25">
      <c r="A918" s="21">
        <v>41613</v>
      </c>
      <c r="B918">
        <v>39293.370600000002</v>
      </c>
    </row>
    <row r="919" spans="1:2" x14ac:dyDescent="0.25">
      <c r="A919" s="21">
        <v>41614</v>
      </c>
      <c r="B919">
        <v>58793.659299999999</v>
      </c>
    </row>
    <row r="920" spans="1:2" x14ac:dyDescent="0.25">
      <c r="A920" s="21">
        <v>41615</v>
      </c>
      <c r="B920">
        <v>54966.691099999996</v>
      </c>
    </row>
    <row r="921" spans="1:2" x14ac:dyDescent="0.25">
      <c r="A921" s="21">
        <v>41616</v>
      </c>
      <c r="B921">
        <v>39055.065999999999</v>
      </c>
    </row>
    <row r="922" spans="1:2" x14ac:dyDescent="0.25">
      <c r="A922" s="21">
        <v>41617</v>
      </c>
      <c r="B922">
        <v>53508.897400000002</v>
      </c>
    </row>
    <row r="923" spans="1:2" x14ac:dyDescent="0.25">
      <c r="A923" s="21">
        <v>41618</v>
      </c>
      <c r="B923">
        <v>53925.0844</v>
      </c>
    </row>
    <row r="924" spans="1:2" x14ac:dyDescent="0.25">
      <c r="A924" s="21">
        <v>41619</v>
      </c>
      <c r="B924">
        <v>51510.239300000001</v>
      </c>
    </row>
    <row r="925" spans="1:2" x14ac:dyDescent="0.25">
      <c r="A925" s="21">
        <v>41620</v>
      </c>
      <c r="B925">
        <v>46160.613700000002</v>
      </c>
    </row>
    <row r="926" spans="1:2" x14ac:dyDescent="0.25">
      <c r="A926" s="21">
        <v>41621</v>
      </c>
      <c r="B926">
        <v>50013.218699999998</v>
      </c>
    </row>
    <row r="927" spans="1:2" x14ac:dyDescent="0.25">
      <c r="A927" s="21">
        <v>41622</v>
      </c>
      <c r="B927">
        <v>56253.960700000003</v>
      </c>
    </row>
    <row r="928" spans="1:2" x14ac:dyDescent="0.25">
      <c r="A928" s="21">
        <v>41623</v>
      </c>
      <c r="B928">
        <v>48403.686800000003</v>
      </c>
    </row>
    <row r="929" spans="1:2" x14ac:dyDescent="0.25">
      <c r="A929" s="21">
        <v>41624</v>
      </c>
      <c r="B929">
        <v>33752.6348</v>
      </c>
    </row>
    <row r="930" spans="1:2" x14ac:dyDescent="0.25">
      <c r="A930" s="21">
        <v>41625</v>
      </c>
      <c r="B930">
        <v>32405.386299999998</v>
      </c>
    </row>
    <row r="931" spans="1:2" x14ac:dyDescent="0.25">
      <c r="A931" s="21">
        <v>41626</v>
      </c>
      <c r="B931">
        <v>38633.386899999998</v>
      </c>
    </row>
    <row r="932" spans="1:2" x14ac:dyDescent="0.25">
      <c r="A932" s="21">
        <v>41627</v>
      </c>
      <c r="B932">
        <v>65836.145099999994</v>
      </c>
    </row>
    <row r="933" spans="1:2" x14ac:dyDescent="0.25">
      <c r="A933" s="21">
        <v>41628</v>
      </c>
      <c r="B933">
        <v>41700.5795</v>
      </c>
    </row>
    <row r="934" spans="1:2" x14ac:dyDescent="0.25">
      <c r="A934" s="21">
        <v>41629</v>
      </c>
      <c r="B934">
        <v>47576.439100000003</v>
      </c>
    </row>
    <row r="935" spans="1:2" x14ac:dyDescent="0.25">
      <c r="A935" s="21">
        <v>41630</v>
      </c>
      <c r="B935">
        <v>41739.464599999999</v>
      </c>
    </row>
    <row r="936" spans="1:2" x14ac:dyDescent="0.25">
      <c r="A936" s="21">
        <v>41631</v>
      </c>
      <c r="B936">
        <v>76212.802100000001</v>
      </c>
    </row>
    <row r="937" spans="1:2" x14ac:dyDescent="0.25">
      <c r="A937" s="21">
        <v>41632</v>
      </c>
      <c r="B937">
        <v>36977.644</v>
      </c>
    </row>
    <row r="938" spans="1:2" x14ac:dyDescent="0.25">
      <c r="A938" s="21">
        <v>41633</v>
      </c>
      <c r="B938">
        <v>49372.639199999998</v>
      </c>
    </row>
    <row r="939" spans="1:2" x14ac:dyDescent="0.25">
      <c r="A939" s="21">
        <v>41634</v>
      </c>
      <c r="B939">
        <v>58798.355300000003</v>
      </c>
    </row>
    <row r="940" spans="1:2" x14ac:dyDescent="0.25">
      <c r="A940" s="21">
        <v>41635</v>
      </c>
      <c r="B940">
        <v>58839.251799999998</v>
      </c>
    </row>
    <row r="941" spans="1:2" x14ac:dyDescent="0.25">
      <c r="A941" s="21">
        <v>41636</v>
      </c>
      <c r="B941">
        <v>45180.412700000001</v>
      </c>
    </row>
    <row r="942" spans="1:2" x14ac:dyDescent="0.25">
      <c r="A942" s="21">
        <v>41637</v>
      </c>
      <c r="B942">
        <v>48061.048499999997</v>
      </c>
    </row>
    <row r="943" spans="1:2" x14ac:dyDescent="0.25">
      <c r="A943" s="21">
        <v>41638</v>
      </c>
      <c r="B943">
        <v>40229.073199999999</v>
      </c>
    </row>
    <row r="944" spans="1:2" x14ac:dyDescent="0.25">
      <c r="A944" s="21">
        <v>41639</v>
      </c>
      <c r="B944">
        <v>3108771.9728999999</v>
      </c>
    </row>
    <row r="945" spans="1:2" x14ac:dyDescent="0.25">
      <c r="A945" s="21">
        <v>41640</v>
      </c>
      <c r="B945">
        <v>54598.548799999997</v>
      </c>
    </row>
    <row r="946" spans="1:2" x14ac:dyDescent="0.25">
      <c r="A946" s="21">
        <v>41641</v>
      </c>
      <c r="B946">
        <v>62955.642</v>
      </c>
    </row>
    <row r="947" spans="1:2" x14ac:dyDescent="0.25">
      <c r="A947" s="21">
        <v>41642</v>
      </c>
      <c r="B947">
        <v>54042.125899999999</v>
      </c>
    </row>
    <row r="948" spans="1:2" x14ac:dyDescent="0.25">
      <c r="A948" s="21">
        <v>41643</v>
      </c>
      <c r="B948">
        <v>60608.036399999997</v>
      </c>
    </row>
    <row r="949" spans="1:2" x14ac:dyDescent="0.25">
      <c r="A949" s="21">
        <v>41644</v>
      </c>
      <c r="B949">
        <v>52463.213799999998</v>
      </c>
    </row>
    <row r="950" spans="1:2" x14ac:dyDescent="0.25">
      <c r="A950" s="21">
        <v>41645</v>
      </c>
      <c r="B950">
        <v>77507.6299</v>
      </c>
    </row>
    <row r="951" spans="1:2" x14ac:dyDescent="0.25">
      <c r="A951" s="21">
        <v>41646</v>
      </c>
      <c r="B951">
        <v>73398.201199999996</v>
      </c>
    </row>
    <row r="952" spans="1:2" x14ac:dyDescent="0.25">
      <c r="A952" s="21">
        <v>41647</v>
      </c>
      <c r="B952">
        <v>46630.150399999999</v>
      </c>
    </row>
    <row r="953" spans="1:2" x14ac:dyDescent="0.25">
      <c r="A953" s="21">
        <v>41648</v>
      </c>
      <c r="B953">
        <v>53495.98</v>
      </c>
    </row>
    <row r="954" spans="1:2" x14ac:dyDescent="0.25">
      <c r="A954" s="21">
        <v>41649</v>
      </c>
      <c r="B954">
        <v>42022.830499999996</v>
      </c>
    </row>
    <row r="955" spans="1:2" x14ac:dyDescent="0.25">
      <c r="A955" s="21">
        <v>41650</v>
      </c>
      <c r="B955">
        <v>36990.528299999998</v>
      </c>
    </row>
    <row r="956" spans="1:2" x14ac:dyDescent="0.25">
      <c r="A956" s="21">
        <v>41651</v>
      </c>
      <c r="B956">
        <v>45632.921300000002</v>
      </c>
    </row>
    <row r="957" spans="1:2" x14ac:dyDescent="0.25">
      <c r="A957" s="21">
        <v>41652</v>
      </c>
      <c r="B957">
        <v>57776.307699999998</v>
      </c>
    </row>
    <row r="958" spans="1:2" x14ac:dyDescent="0.25">
      <c r="A958" s="21">
        <v>41653</v>
      </c>
      <c r="B958">
        <v>72438.509000000005</v>
      </c>
    </row>
    <row r="959" spans="1:2" x14ac:dyDescent="0.25">
      <c r="A959" s="21">
        <v>41654</v>
      </c>
      <c r="B959">
        <v>41594.433199999999</v>
      </c>
    </row>
    <row r="960" spans="1:2" x14ac:dyDescent="0.25">
      <c r="A960" s="21">
        <v>41655</v>
      </c>
      <c r="B960">
        <v>67012.627099999998</v>
      </c>
    </row>
    <row r="961" spans="1:2" x14ac:dyDescent="0.25">
      <c r="A961" s="21">
        <v>41656</v>
      </c>
      <c r="B961">
        <v>63692.776299999998</v>
      </c>
    </row>
    <row r="962" spans="1:2" x14ac:dyDescent="0.25">
      <c r="A962" s="21">
        <v>41657</v>
      </c>
      <c r="B962">
        <v>46222.394699999997</v>
      </c>
    </row>
    <row r="963" spans="1:2" x14ac:dyDescent="0.25">
      <c r="A963" s="21">
        <v>41658</v>
      </c>
      <c r="B963">
        <v>90106.6639</v>
      </c>
    </row>
    <row r="964" spans="1:2" x14ac:dyDescent="0.25">
      <c r="A964" s="21">
        <v>41659</v>
      </c>
      <c r="B964">
        <v>49017.038999999997</v>
      </c>
    </row>
    <row r="965" spans="1:2" x14ac:dyDescent="0.25">
      <c r="A965" s="21">
        <v>41660</v>
      </c>
      <c r="B965">
        <v>47723.581100000003</v>
      </c>
    </row>
    <row r="966" spans="1:2" x14ac:dyDescent="0.25">
      <c r="A966" s="21">
        <v>41661</v>
      </c>
      <c r="B966">
        <v>50501.551599999999</v>
      </c>
    </row>
    <row r="967" spans="1:2" x14ac:dyDescent="0.25">
      <c r="A967" s="21">
        <v>41662</v>
      </c>
      <c r="B967">
        <v>65766.562399999995</v>
      </c>
    </row>
    <row r="968" spans="1:2" x14ac:dyDescent="0.25">
      <c r="A968" s="21">
        <v>41663</v>
      </c>
      <c r="B968">
        <v>31616.626100000001</v>
      </c>
    </row>
    <row r="969" spans="1:2" x14ac:dyDescent="0.25">
      <c r="A969" s="21">
        <v>41664</v>
      </c>
      <c r="B969">
        <v>39212.771399999998</v>
      </c>
    </row>
    <row r="970" spans="1:2" x14ac:dyDescent="0.25">
      <c r="A970" s="21">
        <v>41665</v>
      </c>
      <c r="B970">
        <v>50400.433199999999</v>
      </c>
    </row>
    <row r="971" spans="1:2" x14ac:dyDescent="0.25">
      <c r="A971" s="21">
        <v>41666</v>
      </c>
      <c r="B971">
        <v>65820.740900000004</v>
      </c>
    </row>
    <row r="972" spans="1:2" x14ac:dyDescent="0.25">
      <c r="A972" s="21">
        <v>41667</v>
      </c>
      <c r="B972">
        <v>54634.819300000003</v>
      </c>
    </row>
    <row r="973" spans="1:2" x14ac:dyDescent="0.25">
      <c r="A973" s="21">
        <v>41668</v>
      </c>
      <c r="B973">
        <v>3159291.7256999998</v>
      </c>
    </row>
    <row r="974" spans="1:2" x14ac:dyDescent="0.25">
      <c r="A974" s="21">
        <v>41669</v>
      </c>
      <c r="B974">
        <v>44795.464</v>
      </c>
    </row>
    <row r="975" spans="1:2" x14ac:dyDescent="0.25">
      <c r="A975" s="21">
        <v>41670</v>
      </c>
      <c r="B975">
        <v>40057.035799999998</v>
      </c>
    </row>
    <row r="976" spans="1:2" x14ac:dyDescent="0.25">
      <c r="A976" s="21">
        <v>41671</v>
      </c>
      <c r="B976">
        <v>39802.344499999999</v>
      </c>
    </row>
    <row r="977" spans="1:2" x14ac:dyDescent="0.25">
      <c r="A977" s="21">
        <v>41672</v>
      </c>
      <c r="B977">
        <v>63469.941800000001</v>
      </c>
    </row>
    <row r="978" spans="1:2" x14ac:dyDescent="0.25">
      <c r="A978" s="21">
        <v>41673</v>
      </c>
      <c r="B978">
        <v>33019.622600000002</v>
      </c>
    </row>
    <row r="979" spans="1:2" x14ac:dyDescent="0.25">
      <c r="A979" s="21">
        <v>41674</v>
      </c>
      <c r="B979">
        <v>55272.853000000003</v>
      </c>
    </row>
    <row r="980" spans="1:2" x14ac:dyDescent="0.25">
      <c r="A980" s="21">
        <v>41675</v>
      </c>
      <c r="B980">
        <v>55493.885999999999</v>
      </c>
    </row>
    <row r="981" spans="1:2" x14ac:dyDescent="0.25">
      <c r="A981" s="21">
        <v>41676</v>
      </c>
      <c r="B981">
        <v>64797.986299999997</v>
      </c>
    </row>
    <row r="982" spans="1:2" x14ac:dyDescent="0.25">
      <c r="A982" s="21">
        <v>41677</v>
      </c>
      <c r="B982">
        <v>52246.070299999999</v>
      </c>
    </row>
    <row r="983" spans="1:2" x14ac:dyDescent="0.25">
      <c r="A983" s="21">
        <v>41678</v>
      </c>
      <c r="B983">
        <v>50721.192300000002</v>
      </c>
    </row>
    <row r="984" spans="1:2" x14ac:dyDescent="0.25">
      <c r="A984" s="21">
        <v>41679</v>
      </c>
      <c r="B984">
        <v>84942.8318</v>
      </c>
    </row>
    <row r="985" spans="1:2" x14ac:dyDescent="0.25">
      <c r="A985" s="21">
        <v>41680</v>
      </c>
      <c r="B985">
        <v>65161.763400000003</v>
      </c>
    </row>
    <row r="986" spans="1:2" x14ac:dyDescent="0.25">
      <c r="A986" s="21">
        <v>41681</v>
      </c>
      <c r="B986">
        <v>44808.2045</v>
      </c>
    </row>
    <row r="987" spans="1:2" x14ac:dyDescent="0.25">
      <c r="A987" s="21">
        <v>41682</v>
      </c>
      <c r="B987">
        <v>40985.821499999998</v>
      </c>
    </row>
    <row r="988" spans="1:2" x14ac:dyDescent="0.25">
      <c r="A988" s="21">
        <v>41683</v>
      </c>
      <c r="B988">
        <v>30922.321800000002</v>
      </c>
    </row>
    <row r="989" spans="1:2" x14ac:dyDescent="0.25">
      <c r="A989" s="21">
        <v>41684</v>
      </c>
      <c r="B989">
        <v>51165.5455</v>
      </c>
    </row>
    <row r="990" spans="1:2" x14ac:dyDescent="0.25">
      <c r="A990" s="21">
        <v>41685</v>
      </c>
      <c r="B990">
        <v>63426.979200000002</v>
      </c>
    </row>
    <row r="991" spans="1:2" x14ac:dyDescent="0.25">
      <c r="A991" s="21">
        <v>41686</v>
      </c>
      <c r="B991">
        <v>63485.975599999998</v>
      </c>
    </row>
    <row r="992" spans="1:2" x14ac:dyDescent="0.25">
      <c r="A992" s="21">
        <v>41687</v>
      </c>
      <c r="B992">
        <v>58750.022499999999</v>
      </c>
    </row>
    <row r="993" spans="1:2" x14ac:dyDescent="0.25">
      <c r="A993" s="21">
        <v>41688</v>
      </c>
      <c r="B993">
        <v>49633.507799999999</v>
      </c>
    </row>
    <row r="994" spans="1:2" x14ac:dyDescent="0.25">
      <c r="A994" s="21">
        <v>41689</v>
      </c>
      <c r="B994">
        <v>40317.539900000003</v>
      </c>
    </row>
    <row r="995" spans="1:2" x14ac:dyDescent="0.25">
      <c r="A995" s="21">
        <v>41690</v>
      </c>
      <c r="B995">
        <v>56731.927900000002</v>
      </c>
    </row>
    <row r="996" spans="1:2" x14ac:dyDescent="0.25">
      <c r="A996" s="21">
        <v>41691</v>
      </c>
      <c r="B996">
        <v>53446.531300000002</v>
      </c>
    </row>
    <row r="997" spans="1:2" x14ac:dyDescent="0.25">
      <c r="A997" s="21">
        <v>41692</v>
      </c>
      <c r="B997">
        <v>37659.185899999997</v>
      </c>
    </row>
    <row r="998" spans="1:2" x14ac:dyDescent="0.25">
      <c r="A998" s="21">
        <v>41693</v>
      </c>
      <c r="B998">
        <v>48292.744500000001</v>
      </c>
    </row>
    <row r="999" spans="1:2" x14ac:dyDescent="0.25">
      <c r="A999" s="21">
        <v>41694</v>
      </c>
      <c r="B999">
        <v>68328.284899999999</v>
      </c>
    </row>
    <row r="1000" spans="1:2" x14ac:dyDescent="0.25">
      <c r="A1000" s="21">
        <v>41695</v>
      </c>
      <c r="B1000">
        <v>50343.514300000003</v>
      </c>
    </row>
    <row r="1001" spans="1:2" x14ac:dyDescent="0.25">
      <c r="A1001" s="21">
        <v>41696</v>
      </c>
      <c r="B1001">
        <v>36053.322800000002</v>
      </c>
    </row>
    <row r="1002" spans="1:2" x14ac:dyDescent="0.25">
      <c r="A1002" s="21">
        <v>41697</v>
      </c>
      <c r="B1002">
        <v>58540.503599999996</v>
      </c>
    </row>
    <row r="1003" spans="1:2" x14ac:dyDescent="0.25">
      <c r="A1003" s="21">
        <v>41698</v>
      </c>
      <c r="B1003">
        <v>60392.866499999996</v>
      </c>
    </row>
    <row r="1004" spans="1:2" x14ac:dyDescent="0.25">
      <c r="A1004" s="21">
        <v>41699</v>
      </c>
      <c r="B1004">
        <v>2549532.6773999999</v>
      </c>
    </row>
    <row r="1005" spans="1:2" x14ac:dyDescent="0.25">
      <c r="A1005" s="21">
        <v>41700</v>
      </c>
      <c r="B1005">
        <v>58972.348700000002</v>
      </c>
    </row>
    <row r="1006" spans="1:2" x14ac:dyDescent="0.25">
      <c r="A1006" s="21">
        <v>41701</v>
      </c>
      <c r="B1006">
        <v>72242.161900000006</v>
      </c>
    </row>
    <row r="1007" spans="1:2" x14ac:dyDescent="0.25">
      <c r="A1007" s="21">
        <v>41702</v>
      </c>
      <c r="B1007">
        <v>65238.1296</v>
      </c>
    </row>
    <row r="1008" spans="1:2" x14ac:dyDescent="0.25">
      <c r="A1008" s="21">
        <v>41703</v>
      </c>
      <c r="B1008">
        <v>31995.143899999999</v>
      </c>
    </row>
    <row r="1009" spans="1:2" x14ac:dyDescent="0.25">
      <c r="A1009" s="21">
        <v>41704</v>
      </c>
      <c r="B1009">
        <v>69401.195000000007</v>
      </c>
    </row>
    <row r="1010" spans="1:2" x14ac:dyDescent="0.25">
      <c r="A1010" s="21">
        <v>41705</v>
      </c>
      <c r="B1010">
        <v>49926.796799999996</v>
      </c>
    </row>
    <row r="1011" spans="1:2" x14ac:dyDescent="0.25">
      <c r="A1011" s="21">
        <v>41706</v>
      </c>
      <c r="B1011">
        <v>53035.891000000003</v>
      </c>
    </row>
    <row r="1012" spans="1:2" x14ac:dyDescent="0.25">
      <c r="A1012" s="21">
        <v>41707</v>
      </c>
      <c r="B1012">
        <v>58192.1967</v>
      </c>
    </row>
    <row r="1013" spans="1:2" x14ac:dyDescent="0.25">
      <c r="A1013" s="21">
        <v>41708</v>
      </c>
      <c r="B1013">
        <v>55051.819600000003</v>
      </c>
    </row>
    <row r="1014" spans="1:2" x14ac:dyDescent="0.25">
      <c r="A1014" s="21">
        <v>41709</v>
      </c>
      <c r="B1014">
        <v>46252.241099999999</v>
      </c>
    </row>
    <row r="1015" spans="1:2" x14ac:dyDescent="0.25">
      <c r="A1015" s="21">
        <v>41710</v>
      </c>
      <c r="B1015">
        <v>53550.1803</v>
      </c>
    </row>
    <row r="1016" spans="1:2" x14ac:dyDescent="0.25">
      <c r="A1016" s="21">
        <v>41711</v>
      </c>
      <c r="B1016">
        <v>27044.423299999999</v>
      </c>
    </row>
    <row r="1017" spans="1:2" x14ac:dyDescent="0.25">
      <c r="A1017" s="21">
        <v>41712</v>
      </c>
      <c r="B1017">
        <v>57601.1541</v>
      </c>
    </row>
    <row r="1018" spans="1:2" x14ac:dyDescent="0.25">
      <c r="A1018" s="21">
        <v>41713</v>
      </c>
      <c r="B1018">
        <v>53670.1613</v>
      </c>
    </row>
    <row r="1019" spans="1:2" x14ac:dyDescent="0.25">
      <c r="A1019" s="21">
        <v>41714</v>
      </c>
      <c r="B1019">
        <v>53245.608800000002</v>
      </c>
    </row>
    <row r="1020" spans="1:2" x14ac:dyDescent="0.25">
      <c r="A1020" s="21">
        <v>41715</v>
      </c>
      <c r="B1020">
        <v>50051.628499999999</v>
      </c>
    </row>
    <row r="1021" spans="1:2" x14ac:dyDescent="0.25">
      <c r="A1021" s="21">
        <v>41716</v>
      </c>
      <c r="B1021">
        <v>74389.286800000002</v>
      </c>
    </row>
    <row r="1022" spans="1:2" x14ac:dyDescent="0.25">
      <c r="A1022" s="21">
        <v>41717</v>
      </c>
      <c r="B1022">
        <v>76549.142200000002</v>
      </c>
    </row>
    <row r="1023" spans="1:2" x14ac:dyDescent="0.25">
      <c r="A1023" s="21">
        <v>41718</v>
      </c>
      <c r="B1023">
        <v>56082.530700000003</v>
      </c>
    </row>
    <row r="1024" spans="1:2" x14ac:dyDescent="0.25">
      <c r="A1024" s="21">
        <v>41719</v>
      </c>
      <c r="B1024">
        <v>49945.4928</v>
      </c>
    </row>
    <row r="1025" spans="1:2" x14ac:dyDescent="0.25">
      <c r="A1025" s="21">
        <v>41720</v>
      </c>
      <c r="B1025">
        <v>61299.821400000001</v>
      </c>
    </row>
    <row r="1026" spans="1:2" x14ac:dyDescent="0.25">
      <c r="A1026" s="21">
        <v>41721</v>
      </c>
      <c r="B1026">
        <v>72979.262799999997</v>
      </c>
    </row>
    <row r="1027" spans="1:2" x14ac:dyDescent="0.25">
      <c r="A1027" s="21">
        <v>41722</v>
      </c>
      <c r="B1027">
        <v>63424.073400000001</v>
      </c>
    </row>
    <row r="1028" spans="1:2" x14ac:dyDescent="0.25">
      <c r="A1028" s="21">
        <v>41723</v>
      </c>
      <c r="B1028">
        <v>56318.791100000002</v>
      </c>
    </row>
    <row r="1029" spans="1:2" x14ac:dyDescent="0.25">
      <c r="A1029" s="21">
        <v>41724</v>
      </c>
      <c r="B1029">
        <v>62066.989300000001</v>
      </c>
    </row>
    <row r="1030" spans="1:2" x14ac:dyDescent="0.25">
      <c r="A1030" s="21">
        <v>41725</v>
      </c>
      <c r="B1030">
        <v>90870.870200000005</v>
      </c>
    </row>
    <row r="1031" spans="1:2" x14ac:dyDescent="0.25">
      <c r="A1031" s="21">
        <v>41726</v>
      </c>
      <c r="B1031">
        <v>70532.748999999996</v>
      </c>
    </row>
    <row r="1032" spans="1:2" x14ac:dyDescent="0.25">
      <c r="A1032" s="21">
        <v>41727</v>
      </c>
      <c r="B1032">
        <v>60369.720699999998</v>
      </c>
    </row>
    <row r="1033" spans="1:2" x14ac:dyDescent="0.25">
      <c r="A1033" s="21">
        <v>41728</v>
      </c>
      <c r="B1033">
        <v>69532.521900000007</v>
      </c>
    </row>
    <row r="1034" spans="1:2" x14ac:dyDescent="0.25">
      <c r="A1034" s="21">
        <v>41729</v>
      </c>
      <c r="B1034">
        <v>3827671.3034000001</v>
      </c>
    </row>
    <row r="1035" spans="1:2" x14ac:dyDescent="0.25">
      <c r="A1035" s="21">
        <v>41730</v>
      </c>
      <c r="B1035">
        <v>38172.171199999997</v>
      </c>
    </row>
    <row r="1036" spans="1:2" x14ac:dyDescent="0.25">
      <c r="A1036" s="21">
        <v>41731</v>
      </c>
      <c r="B1036">
        <v>66930.790999999997</v>
      </c>
    </row>
    <row r="1037" spans="1:2" x14ac:dyDescent="0.25">
      <c r="A1037" s="21">
        <v>41732</v>
      </c>
      <c r="B1037">
        <v>63165.5147</v>
      </c>
    </row>
    <row r="1038" spans="1:2" x14ac:dyDescent="0.25">
      <c r="A1038" s="21">
        <v>41733</v>
      </c>
      <c r="B1038">
        <v>78094.882199999993</v>
      </c>
    </row>
    <row r="1039" spans="1:2" x14ac:dyDescent="0.25">
      <c r="A1039" s="21">
        <v>41734</v>
      </c>
      <c r="B1039">
        <v>61611.420299999998</v>
      </c>
    </row>
    <row r="1040" spans="1:2" x14ac:dyDescent="0.25">
      <c r="A1040" s="21">
        <v>41735</v>
      </c>
      <c r="B1040">
        <v>77581.753500000006</v>
      </c>
    </row>
    <row r="1041" spans="1:2" x14ac:dyDescent="0.25">
      <c r="A1041" s="21">
        <v>41736</v>
      </c>
      <c r="B1041">
        <v>64574.113299999997</v>
      </c>
    </row>
    <row r="1042" spans="1:2" x14ac:dyDescent="0.25">
      <c r="A1042" s="21">
        <v>41737</v>
      </c>
      <c r="B1042">
        <v>76332.540099999998</v>
      </c>
    </row>
    <row r="1043" spans="1:2" x14ac:dyDescent="0.25">
      <c r="A1043" s="21">
        <v>41738</v>
      </c>
      <c r="B1043">
        <v>55753.815300000002</v>
      </c>
    </row>
    <row r="1044" spans="1:2" x14ac:dyDescent="0.25">
      <c r="A1044" s="21">
        <v>41739</v>
      </c>
      <c r="B1044">
        <v>66586.174400000004</v>
      </c>
    </row>
    <row r="1045" spans="1:2" x14ac:dyDescent="0.25">
      <c r="A1045" s="21">
        <v>41740</v>
      </c>
      <c r="B1045">
        <v>66722.001199999999</v>
      </c>
    </row>
    <row r="1046" spans="1:2" x14ac:dyDescent="0.25">
      <c r="A1046" s="21">
        <v>41741</v>
      </c>
      <c r="B1046">
        <v>50209.267999999996</v>
      </c>
    </row>
    <row r="1047" spans="1:2" x14ac:dyDescent="0.25">
      <c r="A1047" s="21">
        <v>41742</v>
      </c>
      <c r="B1047">
        <v>66313.637499999997</v>
      </c>
    </row>
    <row r="1048" spans="1:2" x14ac:dyDescent="0.25">
      <c r="A1048" s="21">
        <v>41743</v>
      </c>
      <c r="B1048">
        <v>70443.829299999998</v>
      </c>
    </row>
    <row r="1049" spans="1:2" x14ac:dyDescent="0.25">
      <c r="A1049" s="21">
        <v>41744</v>
      </c>
      <c r="B1049">
        <v>76845.016600000003</v>
      </c>
    </row>
    <row r="1050" spans="1:2" x14ac:dyDescent="0.25">
      <c r="A1050" s="21">
        <v>41745</v>
      </c>
      <c r="B1050">
        <v>59927.776100000003</v>
      </c>
    </row>
    <row r="1051" spans="1:2" x14ac:dyDescent="0.25">
      <c r="A1051" s="21">
        <v>41746</v>
      </c>
      <c r="B1051">
        <v>52698.014900000002</v>
      </c>
    </row>
    <row r="1052" spans="1:2" x14ac:dyDescent="0.25">
      <c r="A1052" s="21">
        <v>41747</v>
      </c>
      <c r="B1052">
        <v>69553.453299999994</v>
      </c>
    </row>
    <row r="1053" spans="1:2" x14ac:dyDescent="0.25">
      <c r="A1053" s="21">
        <v>41748</v>
      </c>
      <c r="B1053">
        <v>87368.230299999996</v>
      </c>
    </row>
    <row r="1054" spans="1:2" x14ac:dyDescent="0.25">
      <c r="A1054" s="21">
        <v>41749</v>
      </c>
      <c r="B1054">
        <v>75043.546100000007</v>
      </c>
    </row>
    <row r="1055" spans="1:2" x14ac:dyDescent="0.25">
      <c r="A1055" s="21">
        <v>41750</v>
      </c>
      <c r="B1055">
        <v>66209.601299999995</v>
      </c>
    </row>
    <row r="1056" spans="1:2" x14ac:dyDescent="0.25">
      <c r="A1056" s="21">
        <v>41751</v>
      </c>
      <c r="B1056">
        <v>67968.418699999995</v>
      </c>
    </row>
    <row r="1057" spans="1:2" x14ac:dyDescent="0.25">
      <c r="A1057" s="21">
        <v>41752</v>
      </c>
      <c r="B1057">
        <v>72575.860100000005</v>
      </c>
    </row>
    <row r="1058" spans="1:2" x14ac:dyDescent="0.25">
      <c r="A1058" s="21">
        <v>41753</v>
      </c>
      <c r="B1058">
        <v>71654.809299999994</v>
      </c>
    </row>
    <row r="1059" spans="1:2" x14ac:dyDescent="0.25">
      <c r="A1059" s="21">
        <v>41754</v>
      </c>
      <c r="B1059">
        <v>52075.215400000001</v>
      </c>
    </row>
    <row r="1060" spans="1:2" x14ac:dyDescent="0.25">
      <c r="A1060" s="21">
        <v>41755</v>
      </c>
      <c r="B1060">
        <v>60350.537600000003</v>
      </c>
    </row>
    <row r="1061" spans="1:2" x14ac:dyDescent="0.25">
      <c r="A1061" s="21">
        <v>41756</v>
      </c>
      <c r="B1061">
        <v>66232.651700000002</v>
      </c>
    </row>
    <row r="1062" spans="1:2" x14ac:dyDescent="0.25">
      <c r="A1062" s="21">
        <v>41757</v>
      </c>
      <c r="B1062">
        <v>71058.231100000005</v>
      </c>
    </row>
    <row r="1063" spans="1:2" x14ac:dyDescent="0.25">
      <c r="A1063" s="21">
        <v>41758</v>
      </c>
      <c r="B1063">
        <v>50576.769</v>
      </c>
    </row>
    <row r="1064" spans="1:2" x14ac:dyDescent="0.25">
      <c r="A1064" s="21">
        <v>41759</v>
      </c>
      <c r="B1064">
        <v>83256.106100000005</v>
      </c>
    </row>
    <row r="1065" spans="1:2" x14ac:dyDescent="0.25">
      <c r="A1065" s="21">
        <v>41760</v>
      </c>
      <c r="B1065">
        <v>3899450.7146000001</v>
      </c>
    </row>
    <row r="1066" spans="1:2" x14ac:dyDescent="0.25">
      <c r="A1066" s="21">
        <v>41761</v>
      </c>
      <c r="B1066">
        <v>39223.114600000001</v>
      </c>
    </row>
    <row r="1067" spans="1:2" x14ac:dyDescent="0.25">
      <c r="A1067" s="21">
        <v>41762</v>
      </c>
      <c r="B1067">
        <v>64674.104599999999</v>
      </c>
    </row>
    <row r="1068" spans="1:2" x14ac:dyDescent="0.25">
      <c r="A1068" s="21">
        <v>41763</v>
      </c>
      <c r="B1068">
        <v>54660.6054</v>
      </c>
    </row>
    <row r="1069" spans="1:2" x14ac:dyDescent="0.25">
      <c r="A1069" s="21">
        <v>41764</v>
      </c>
      <c r="B1069">
        <v>73247.866399999999</v>
      </c>
    </row>
    <row r="1070" spans="1:2" x14ac:dyDescent="0.25">
      <c r="A1070" s="21">
        <v>41765</v>
      </c>
      <c r="B1070">
        <v>91547.340400000001</v>
      </c>
    </row>
    <row r="1071" spans="1:2" x14ac:dyDescent="0.25">
      <c r="A1071" s="21">
        <v>41766</v>
      </c>
      <c r="B1071">
        <v>98452.650999999998</v>
      </c>
    </row>
    <row r="1072" spans="1:2" x14ac:dyDescent="0.25">
      <c r="A1072" s="21">
        <v>41767</v>
      </c>
      <c r="B1072">
        <v>68716.636599999998</v>
      </c>
    </row>
    <row r="1073" spans="1:2" x14ac:dyDescent="0.25">
      <c r="A1073" s="21">
        <v>41768</v>
      </c>
      <c r="B1073">
        <v>70150.053700000004</v>
      </c>
    </row>
    <row r="1074" spans="1:2" x14ac:dyDescent="0.25">
      <c r="A1074" s="21">
        <v>41769</v>
      </c>
      <c r="B1074">
        <v>64426.760999999999</v>
      </c>
    </row>
    <row r="1075" spans="1:2" x14ac:dyDescent="0.25">
      <c r="A1075" s="21">
        <v>41770</v>
      </c>
      <c r="B1075">
        <v>88227.820999999996</v>
      </c>
    </row>
    <row r="1076" spans="1:2" x14ac:dyDescent="0.25">
      <c r="A1076" s="21">
        <v>41771</v>
      </c>
      <c r="B1076">
        <v>60834.373099999997</v>
      </c>
    </row>
    <row r="1077" spans="1:2" x14ac:dyDescent="0.25">
      <c r="A1077" s="21">
        <v>41772</v>
      </c>
      <c r="B1077">
        <v>63782.6567</v>
      </c>
    </row>
    <row r="1078" spans="1:2" x14ac:dyDescent="0.25">
      <c r="A1078" s="21">
        <v>41773</v>
      </c>
      <c r="B1078">
        <v>106755.8316</v>
      </c>
    </row>
    <row r="1079" spans="1:2" x14ac:dyDescent="0.25">
      <c r="A1079" s="21">
        <v>41774</v>
      </c>
      <c r="B1079">
        <v>72448.641600000003</v>
      </c>
    </row>
    <row r="1080" spans="1:2" x14ac:dyDescent="0.25">
      <c r="A1080" s="21">
        <v>41775</v>
      </c>
      <c r="B1080">
        <v>64602.765500000001</v>
      </c>
    </row>
    <row r="1081" spans="1:2" x14ac:dyDescent="0.25">
      <c r="A1081" s="21">
        <v>41776</v>
      </c>
      <c r="B1081">
        <v>78455.444000000003</v>
      </c>
    </row>
    <row r="1082" spans="1:2" x14ac:dyDescent="0.25">
      <c r="A1082" s="21">
        <v>41777</v>
      </c>
      <c r="B1082">
        <v>64186.677900000002</v>
      </c>
    </row>
    <row r="1083" spans="1:2" x14ac:dyDescent="0.25">
      <c r="A1083" s="21">
        <v>41778</v>
      </c>
      <c r="B1083">
        <v>79574.521599999993</v>
      </c>
    </row>
    <row r="1084" spans="1:2" x14ac:dyDescent="0.25">
      <c r="A1084" s="21">
        <v>41779</v>
      </c>
      <c r="B1084">
        <v>74339.395999999993</v>
      </c>
    </row>
    <row r="1085" spans="1:2" x14ac:dyDescent="0.25">
      <c r="A1085" s="21">
        <v>41780</v>
      </c>
      <c r="B1085">
        <v>91847.005399999995</v>
      </c>
    </row>
    <row r="1086" spans="1:2" x14ac:dyDescent="0.25">
      <c r="A1086" s="21">
        <v>41781</v>
      </c>
      <c r="B1086">
        <v>73780.1774</v>
      </c>
    </row>
    <row r="1087" spans="1:2" x14ac:dyDescent="0.25">
      <c r="A1087" s="21">
        <v>41782</v>
      </c>
      <c r="B1087">
        <v>53914.9185</v>
      </c>
    </row>
    <row r="1088" spans="1:2" x14ac:dyDescent="0.25">
      <c r="A1088" s="21">
        <v>41783</v>
      </c>
      <c r="B1088">
        <v>72844.021900000007</v>
      </c>
    </row>
    <row r="1089" spans="1:2" x14ac:dyDescent="0.25">
      <c r="A1089" s="21">
        <v>41784</v>
      </c>
      <c r="B1089">
        <v>84990.645699999994</v>
      </c>
    </row>
    <row r="1090" spans="1:2" x14ac:dyDescent="0.25">
      <c r="A1090" s="21">
        <v>41785</v>
      </c>
      <c r="B1090">
        <v>76834.673599999995</v>
      </c>
    </row>
    <row r="1091" spans="1:2" x14ac:dyDescent="0.25">
      <c r="A1091" s="21">
        <v>41786</v>
      </c>
      <c r="B1091">
        <v>64179.263599999998</v>
      </c>
    </row>
    <row r="1092" spans="1:2" x14ac:dyDescent="0.25">
      <c r="A1092" s="21">
        <v>41787</v>
      </c>
      <c r="B1092">
        <v>87191.784499999994</v>
      </c>
    </row>
    <row r="1093" spans="1:2" x14ac:dyDescent="0.25">
      <c r="A1093" s="21">
        <v>41788</v>
      </c>
      <c r="B1093">
        <v>67360.558799999999</v>
      </c>
    </row>
    <row r="1094" spans="1:2" x14ac:dyDescent="0.25">
      <c r="A1094" s="21">
        <v>41789</v>
      </c>
      <c r="B1094">
        <v>53454.7405</v>
      </c>
    </row>
    <row r="1095" spans="1:2" x14ac:dyDescent="0.25">
      <c r="A1095" s="21">
        <v>41790</v>
      </c>
      <c r="B1095">
        <v>2027.4438</v>
      </c>
    </row>
    <row r="1096" spans="1:2" x14ac:dyDescent="0.25">
      <c r="A1096" s="21">
        <v>41791</v>
      </c>
      <c r="B1096">
        <v>1673.2913000000001</v>
      </c>
    </row>
    <row r="1097" spans="1:2" x14ac:dyDescent="0.25">
      <c r="A1097" s="21">
        <v>41792</v>
      </c>
      <c r="B1097">
        <v>1985.4981</v>
      </c>
    </row>
    <row r="1098" spans="1:2" x14ac:dyDescent="0.25">
      <c r="A1098" s="21">
        <v>41793</v>
      </c>
      <c r="B1098">
        <v>1437.9702</v>
      </c>
    </row>
    <row r="1099" spans="1:2" x14ac:dyDescent="0.25">
      <c r="A1099" s="21">
        <v>41794</v>
      </c>
      <c r="B1099">
        <v>1360.9299000000001</v>
      </c>
    </row>
    <row r="1100" spans="1:2" x14ac:dyDescent="0.25">
      <c r="A1100" s="21">
        <v>41795</v>
      </c>
      <c r="B1100">
        <v>1894.6891000000001</v>
      </c>
    </row>
    <row r="1101" spans="1:2" x14ac:dyDescent="0.25">
      <c r="A1101" s="21">
        <v>41796</v>
      </c>
      <c r="B1101">
        <v>1456.9545000000001</v>
      </c>
    </row>
    <row r="1102" spans="1:2" x14ac:dyDescent="0.25">
      <c r="A1102" s="21">
        <v>41797</v>
      </c>
      <c r="B1102">
        <v>2791.0880000000002</v>
      </c>
    </row>
    <row r="1103" spans="1:2" x14ac:dyDescent="0.25">
      <c r="A1103" s="21">
        <v>41798</v>
      </c>
      <c r="B1103">
        <v>1155.3887999999999</v>
      </c>
    </row>
    <row r="1104" spans="1:2" x14ac:dyDescent="0.25">
      <c r="A1104" s="21">
        <v>41799</v>
      </c>
      <c r="B1104">
        <v>1624.9143999999999</v>
      </c>
    </row>
    <row r="1105" spans="1:2" x14ac:dyDescent="0.25">
      <c r="A1105" s="21">
        <v>41800</v>
      </c>
      <c r="B1105">
        <v>1572.5704000000001</v>
      </c>
    </row>
    <row r="1106" spans="1:2" x14ac:dyDescent="0.25">
      <c r="A1106" s="21">
        <v>41801</v>
      </c>
      <c r="B1106">
        <v>2008.8136</v>
      </c>
    </row>
    <row r="1107" spans="1:2" x14ac:dyDescent="0.25">
      <c r="A1107" s="21">
        <v>41802</v>
      </c>
      <c r="B1107">
        <v>1049.3526999999999</v>
      </c>
    </row>
    <row r="1108" spans="1:2" x14ac:dyDescent="0.25">
      <c r="A1108" s="21">
        <v>41803</v>
      </c>
      <c r="B1108">
        <v>2110.5399000000002</v>
      </c>
    </row>
    <row r="1109" spans="1:2" x14ac:dyDescent="0.25">
      <c r="A1109" s="21">
        <v>41804</v>
      </c>
      <c r="B1109">
        <v>1524.3486</v>
      </c>
    </row>
    <row r="1110" spans="1:2" x14ac:dyDescent="0.25">
      <c r="A1110" s="21">
        <v>41805</v>
      </c>
      <c r="B1110">
        <v>1793.6039000000001</v>
      </c>
    </row>
    <row r="1111" spans="1:2" x14ac:dyDescent="0.25">
      <c r="A1111" s="21">
        <v>41806</v>
      </c>
      <c r="B1111">
        <v>2130.3746000000001</v>
      </c>
    </row>
    <row r="1112" spans="1:2" x14ac:dyDescent="0.25">
      <c r="A1112" s="21">
        <v>41807</v>
      </c>
      <c r="B1112">
        <v>1507.6624999999999</v>
      </c>
    </row>
    <row r="1113" spans="1:2" x14ac:dyDescent="0.25">
      <c r="A1113" s="21">
        <v>41808</v>
      </c>
      <c r="B1113">
        <v>2275.8919000000001</v>
      </c>
    </row>
    <row r="1114" spans="1:2" x14ac:dyDescent="0.25">
      <c r="A1114" s="21">
        <v>41809</v>
      </c>
      <c r="B1114">
        <v>2013.0565999999999</v>
      </c>
    </row>
    <row r="1115" spans="1:2" x14ac:dyDescent="0.25">
      <c r="A1115" s="21">
        <v>41810</v>
      </c>
      <c r="B1115">
        <v>1274.4857999999999</v>
      </c>
    </row>
    <row r="1116" spans="1:2" x14ac:dyDescent="0.25">
      <c r="A1116" s="21">
        <v>41811</v>
      </c>
      <c r="B1116">
        <v>2015.4322</v>
      </c>
    </row>
    <row r="1117" spans="1:2" x14ac:dyDescent="0.25">
      <c r="A1117" s="21">
        <v>41812</v>
      </c>
      <c r="B1117">
        <v>1663.9429</v>
      </c>
    </row>
    <row r="1118" spans="1:2" x14ac:dyDescent="0.25">
      <c r="A1118" s="21">
        <v>41813</v>
      </c>
      <c r="B1118">
        <v>2141.4357</v>
      </c>
    </row>
    <row r="1119" spans="1:2" x14ac:dyDescent="0.25">
      <c r="A1119" s="21">
        <v>41814</v>
      </c>
      <c r="B1119">
        <v>1493.143</v>
      </c>
    </row>
    <row r="1120" spans="1:2" x14ac:dyDescent="0.25">
      <c r="A1120" s="21">
        <v>41815</v>
      </c>
      <c r="B1120">
        <v>2008.88</v>
      </c>
    </row>
    <row r="1121" spans="1:2" x14ac:dyDescent="0.25">
      <c r="A1121" s="21">
        <v>41816</v>
      </c>
      <c r="B1121">
        <v>1660.6501000000001</v>
      </c>
    </row>
    <row r="1122" spans="1:2" x14ac:dyDescent="0.25">
      <c r="A1122" s="21">
        <v>41817</v>
      </c>
      <c r="B1122">
        <v>1931.1760999999999</v>
      </c>
    </row>
    <row r="1123" spans="1:2" x14ac:dyDescent="0.25">
      <c r="A1123" s="21">
        <v>41818</v>
      </c>
      <c r="B1123">
        <v>2041.444</v>
      </c>
    </row>
    <row r="1124" spans="1:2" x14ac:dyDescent="0.25">
      <c r="A1124" s="21">
        <v>41819</v>
      </c>
      <c r="B1124">
        <v>1632.7596000000001</v>
      </c>
    </row>
    <row r="1125" spans="1:2" x14ac:dyDescent="0.25">
      <c r="A1125" s="21">
        <v>41820</v>
      </c>
      <c r="B1125">
        <v>2921.1900999999998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Employees</vt:lpstr>
      <vt:lpstr>Employee Summary</vt:lpstr>
      <vt:lpstr>Filter</vt:lpstr>
      <vt:lpstr>Workday</vt:lpstr>
      <vt:lpstr>Hire Date</vt:lpstr>
      <vt:lpstr>Sunburst</vt:lpstr>
      <vt:lpstr>Waterfall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 Burton</dc:creator>
  <cp:lastModifiedBy>Talha Rashid</cp:lastModifiedBy>
  <dcterms:created xsi:type="dcterms:W3CDTF">2023-03-20T11:12:56Z</dcterms:created>
  <dcterms:modified xsi:type="dcterms:W3CDTF">2025-12-26T06:30:50Z</dcterms:modified>
</cp:coreProperties>
</file>